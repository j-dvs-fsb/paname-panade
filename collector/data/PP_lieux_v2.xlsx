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Familles" sheetId="2" state="visible" r:id="rId4"/>
    <sheet name="Lieux" sheetId="3" state="visible" r:id="rId5"/>
    <sheet name="Tarifs" sheetId="4" state="visible" r:id="rId6"/>
    <sheet name="Expositions" sheetId="5" state="visible" r:id="rId7"/>
    <sheet name="Horaires" sheetId="6" state="visible" r:id="rId8"/>
    <sheet name="Fermetures" sheetId="7" state="visible" r:id="rId9"/>
    <sheet name="Suivi" sheetId="8" state="visible" r:id="rId10"/>
  </sheets>
  <definedNames>
    <definedName function="false" hidden="true" localSheetId="4" name="_xlnm._FilterDatabase" vbProcedure="false">Expositions!$A$1:$L$22</definedName>
    <definedName function="false" hidden="true" localSheetId="5" name="_xlnm._FilterDatabase" vbProcedure="false">Horaires!$A$1:$L$62</definedName>
    <definedName function="false" hidden="true" localSheetId="2" name="_xlnm._FilterDatabase" vbProcedure="false">Lieux!$A$1:$R$58</definedName>
    <definedName function="false" hidden="true" localSheetId="3" name="_xlnm._FilterDatabase" vbProcedure="false">Tarifs!$A$1:$K$69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<sst xmlns="http://schemas.openxmlformats.org/spreadsheetml/2006/main" count="1960" uniqueCount="556">
  <si>
    <t xml:space="preserve">Paname-Panade — référentiel des lieux</t>
  </si>
  <si>
    <t xml:space="preserve">Principe : tu ne remplis QUE ce qu'une machine ne peut pas deviner.</t>
  </si>
  <si>
    <t xml:space="preserve">Tout le reste (horaires, accessibilité, tarifs détaillés, descriptions) sera récupéré automatiquement</t>
  </si>
  <si>
    <t xml:space="preserve">à partir des URL. Ne recopie JAMAIS le texte d'une page dans ce fichier.</t>
  </si>
  <si>
    <t xml:space="preserve">Code couleur</t>
  </si>
  <si>
    <t xml:space="preserve">  Jaune   → à remplir à la main (c'est ton seul travail)</t>
  </si>
  <si>
    <t xml:space="preserve">  Gris    → calculé automatiquement depuis l'onglet Familles, ne pas toucher</t>
  </si>
  <si>
    <t xml:space="preserve">  Vert    → sera rempli par le script, laisse vide</t>
  </si>
  <si>
    <t xml:space="preserve">Ta boucle de travail, environ 2 minutes par lieu</t>
  </si>
  <si>
    <t xml:space="preserve">  1. Ouvre le site du lieu</t>
  </si>
  <si>
    <t xml:space="preserve">  2. Colle l'URL de la page qui LISTE les expos (pas une expo précise) dans expos_url</t>
  </si>
  <si>
    <t xml:space="preserve">  3. Colle l'URL de la page tarifs/infos pratiques dans tarifs_url</t>
  </si>
  <si>
    <t xml:space="preserve">  4. Regarde la règle héritée (colonne grise). Elle est juste ? Passe statut à « vérifié ».</t>
  </si>
  <si>
    <t xml:space="preserve">     Elle est fausse ? Écris la vraie règle dans gratuite_override et passe à « vérifié ».</t>
  </si>
  <si>
    <t xml:space="preserve">  5. Ligne suivante.</t>
  </si>
  <si>
    <t xml:space="preserve">56 lieux × 2 min ≈ 2 heures, au lieu des ~30 h de la version précédente.</t>
  </si>
  <si>
    <t xml:space="preserve">Ordre conseillé</t>
  </si>
  <si>
    <t xml:space="preserve">  Commence par les familles paris_musees, musee_national et cmn : 31 lieux sur 56,</t>
  </si>
  <si>
    <t xml:space="preserve">  et la règle est déjà pré-remplie. Tu ne fais que confirmer.</t>
  </si>
  <si>
    <t xml:space="preserve">  Garde prive_assoc pour la fin, c'est le seul groupe qui demande une vraie lecture.</t>
  </si>
  <si>
    <t xml:space="preserve">Champs volontairement supprimés</t>
  </si>
  <si>
    <t xml:space="preserve">  horaires : colonnes horaires_url + horaires + nocturne, remplies automatiquement</t>
  </si>
  <si>
    <t xml:space="preserve">  accessibilité (texte)→ extrait automatiquement depuis le site</t>
  </si>
  <si>
    <t xml:space="preserve">  climatisé            → quasi jamais publié : à basculer en signalement utilisateur</t>
  </si>
  <si>
    <t xml:space="preserve">  Tu ne saisis jamais ces trois colonnes à la main : elles viennent du site.</t>
  </si>
  <si>
    <t xml:space="preserve">  billetterie          → identique pour tout un réseau, vit dans l'onglet Familles</t>
  </si>
  <si>
    <t xml:space="preserve">famille_id</t>
  </si>
  <si>
    <t xml:space="preserve">libellé</t>
  </si>
  <si>
    <t xml:space="preserve">gratuite_permanent</t>
  </si>
  <si>
    <t xml:space="preserve">gratuite_temporaire</t>
  </si>
  <si>
    <t xml:space="preserve">age_max</t>
  </si>
  <si>
    <t xml:space="preserve">conditions</t>
  </si>
  <si>
    <t xml:space="preserve">source / à vérifier</t>
  </si>
  <si>
    <t xml:space="preserve">paris_musees</t>
  </si>
  <si>
    <t xml:space="preserve">Paris Musées (Ville de Paris)</t>
  </si>
  <si>
    <t xml:space="preserve">Gratuit pour tous</t>
  </si>
  <si>
    <t xml:space="preserve">Payant pour tous (gratuit -18 ans)</t>
  </si>
  <si>
    <t xml:space="preserve">Collections permanentes en accès libre, sans réservation</t>
  </si>
  <si>
    <t xml:space="preserve">Confirmé par tes 3 lignes déjà saisies (Balzac, Bourdelle, Carnavalet)</t>
  </si>
  <si>
    <t xml:space="preserve">musee_national</t>
  </si>
  <si>
    <t xml:space="preserve">Musée national (Ministère de la Culture)</t>
  </si>
  <si>
    <t xml:space="preserve">Gratuit</t>
  </si>
  <si>
    <t xml:space="preserve">Variable selon l'établissement</t>
  </si>
  <si>
    <t xml:space="preserve">Résident de longue durée UE/EEE, pièce d'identité exigée</t>
  </si>
  <si>
    <t xml:space="preserve">culture.gouv.fr — mesure du 4 avril 2009</t>
  </si>
  <si>
    <t xml:space="preserve">cmn</t>
  </si>
  <si>
    <t xml:space="preserve">Monument national (CMN)</t>
  </si>
  <si>
    <t xml:space="preserve">Généralement inclus dans le billet</t>
  </si>
  <si>
    <t xml:space="preserve">Résident de longue durée UE/EEE (&gt;3 mois), pièce d'identité</t>
  </si>
  <si>
    <t xml:space="preserve">Même dispositif national que les musées nationaux</t>
  </si>
  <si>
    <t xml:space="preserve">militaire</t>
  </si>
  <si>
    <t xml:space="preserve">Musée militaire / de service</t>
  </si>
  <si>
    <t xml:space="preserve">À VÉRIFIER</t>
  </si>
  <si>
    <t xml:space="preserve">Règles propres, souvent gratuit -18 ans ou gratuit pour tous</t>
  </si>
  <si>
    <t xml:space="preserve">À vérifier lieu par lieu</t>
  </si>
  <si>
    <t xml:space="preserve">prive_assoc</t>
  </si>
  <si>
    <t xml:space="preserve">Privé / associatif / fondation</t>
  </si>
  <si>
    <t xml:space="preserve">Règle propre à chaque lieu, aucune généralisation possible</t>
  </si>
  <si>
    <t xml:space="preserve">autre_public</t>
  </si>
  <si>
    <t xml:space="preserve">Autre établissement public</t>
  </si>
  <si>
    <t xml:space="preserve">EPIC, université, collectivité — règle propre</t>
  </si>
  <si>
    <t xml:space="preserve">Vérifie ces 6 lignes une seule fois. Corriger une ligne ici corrige tous les lieux de la famille.</t>
  </si>
  <si>
    <t xml:space="preserve">C'est le cœur du système : 6 vérifications au lieu de 56.</t>
  </si>
  <si>
    <t xml:space="preserve">id</t>
  </si>
  <si>
    <t xml:space="preserve">nom</t>
  </si>
  <si>
    <t xml:space="preserve">famille</t>
  </si>
  <si>
    <t xml:space="preserve">confiance_famille</t>
  </si>
  <si>
    <t xml:space="preserve">règle permanent (héritée)</t>
  </si>
  <si>
    <t xml:space="preserve">règle temporaire (héritée)</t>
  </si>
  <si>
    <t xml:space="preserve">âge max (hérité)</t>
  </si>
  <si>
    <t xml:space="preserve">expos_url</t>
  </si>
  <si>
    <t xml:space="preserve">tarifs_url</t>
  </si>
  <si>
    <t xml:space="preserve">gratuite_override</t>
  </si>
  <si>
    <t xml:space="preserve">statut</t>
  </si>
  <si>
    <t xml:space="preserve">date_verif</t>
  </si>
  <si>
    <t xml:space="preserve">notes</t>
  </si>
  <si>
    <t xml:space="preserve">tier</t>
  </si>
  <si>
    <t xml:space="preserve">plateforme_billetterie</t>
  </si>
  <si>
    <t xml:space="preserve">notes_crawler</t>
  </si>
  <si>
    <t xml:space="preserve">logo_url</t>
  </si>
  <si>
    <t xml:space="preserve">horaires_url</t>
  </si>
  <si>
    <t xml:space="preserve">maison-de-balzac</t>
  </si>
  <si>
    <t xml:space="preserve">Maison de Balzac</t>
  </si>
  <si>
    <t xml:space="preserve">sûr</t>
  </si>
  <si>
    <t xml:space="preserve">https://www.maisondebalzac.paris.fr/</t>
  </si>
  <si>
    <t xml:space="preserve">à vérifier</t>
  </si>
  <si>
    <t xml:space="preserve">Déjà saisi</t>
  </si>
  <si>
    <t xml:space="preserve">T1</t>
  </si>
  <si>
    <t xml:space="preserve">billetterie-parismusees.paris.fr</t>
  </si>
  <si>
    <t xml:space="preserve">Reseau Paris Musees : les 14 sites partagent le MEME gabarit Drupal. Meme structure de menu (Votre visite / Expositions / Agenda), memes images sous /sites/default/files/styles/, meme balise og:image exploitable, et un /sitemap sur chaque site. UN SEUL crawler couvre les 14. Attention : le chemin exact de la page expos varie legerement d'un site a l'autre (/expositions/exposition-en-cours, /expositions/expositions-en-cours, /visiter/expositions/expositions-en-cours) : a confirmer site par site.</t>
  </si>
  <si>
    <t xml:space="preserve">musee-bourdelle</t>
  </si>
  <si>
    <t xml:space="preserve">Musée Bourdelle</t>
  </si>
  <si>
    <t xml:space="preserve">https://www.bourdelle.paris.fr/</t>
  </si>
  <si>
    <t xml:space="preserve">musee-carnavalet-histoire-de-paris</t>
  </si>
  <si>
    <t xml:space="preserve">Musée Carnavalet - histoire de Paris</t>
  </si>
  <si>
    <t xml:space="preserve">https://www.carnavalet.paris.fr/</t>
  </si>
  <si>
    <t xml:space="preserve">musee-cernuschi-musee-des-arts-de-l-asie-de-la-ville-de-pari</t>
  </si>
  <si>
    <t xml:space="preserve">Musée Cernuschi, musée des arts de l'Asie de la ville de Paris</t>
  </si>
  <si>
    <t xml:space="preserve">musee-cognacq-jay-musee-du-xviiie-siecle-de-la-ville-de-pari</t>
  </si>
  <si>
    <t xml:space="preserve">Musée Cognacq-Jay, musée du XVIIIe siècle de la ville de Paris</t>
  </si>
  <si>
    <t xml:space="preserve">musee-d-art-moderne-de-la-ville-de-paris</t>
  </si>
  <si>
    <t xml:space="preserve">Musée d'art moderne de la ville de Paris</t>
  </si>
  <si>
    <t xml:space="preserve">https://www.mam.paris.fr/</t>
  </si>
  <si>
    <t xml:space="preserve">musee-de-la-liberation-de-paris-musee-du-general-leclerc-mus</t>
  </si>
  <si>
    <t xml:space="preserve">Musée de la Libération de Paris - musée du général Leclerc - musée Jean Moulin</t>
  </si>
  <si>
    <t xml:space="preserve">musee-de-la-vie-romantique</t>
  </si>
  <si>
    <t xml:space="preserve">Musée de la vie romantique</t>
  </si>
  <si>
    <t xml:space="preserve">https://museevieromantique.paris.fr/expositions/exposition-en-cours</t>
  </si>
  <si>
    <t xml:space="preserve">https://museevieromantique.paris.fr/votre-visite/informations-pratiques</t>
  </si>
  <si>
    <t xml:space="preserve">vérifié</t>
  </si>
  <si>
    <t xml:space="preserve">2026-09-19</t>
  </si>
  <si>
    <t xml:space="preserve">ROUVERT, les travaux sont termines. Reseau Paris Musees : les 14 sites partagent le MEME gabarit Drupal. Meme structure de menu (Votre visite / Expositions / Agenda), memes images sous /sites/default/files/styles/, meme balise og:image exploitable, et un /sitemap sur chaque site. UN SEUL crawler couvre les 14. Attention : le chemin exact de la page expos varie legerement d'un site a l'autre (/expositions/exposition-en-cours, /expositions/expositions-en-cours, /visiter/expositions/expositions-en-cours) : a confirmer site par site.</t>
  </si>
  <si>
    <t xml:space="preserve">https://museevieromantique.paris.fr/sites/default/files/styles/metatag/public/images/2026-05/15%20mars%202026%40Mus%C3%A9e%20de%20la%20vie%20romantique-Paris%20Mus%C3%A9es-IP3%20PRESS%20BD002.JPG.webp</t>
  </si>
  <si>
    <t xml:space="preserve">musee-zadkine</t>
  </si>
  <si>
    <t xml:space="preserve">Musée Zadkine</t>
  </si>
  <si>
    <t xml:space="preserve">A TROUVER (probablement zadkine.paris.fr)</t>
  </si>
  <si>
    <t xml:space="preserve">palais-galliera-musee-de-la-mode-et-de-la-ville-de-paris</t>
  </si>
  <si>
    <t xml:space="preserve">Palais Galliera, musée de la mode et de la ville de Paris</t>
  </si>
  <si>
    <t xml:space="preserve">https://palaisgalliera.paris.fr/</t>
  </si>
  <si>
    <t xml:space="preserve">EXCEPTION a la regle Paris Musees : le Palais Galliera n'a pas de collection permanente gratuite, tout est payant. A verifier sur leur site.</t>
  </si>
  <si>
    <t xml:space="preserve">petit-palais-musee-des-beaux-arts-de-la-ville-de-paris</t>
  </si>
  <si>
    <t xml:space="preserve">Petit Palais, musée des beaux-arts de la ville de Paris</t>
  </si>
  <si>
    <t xml:space="preserve">https://www.petitpalais.paris.fr/</t>
  </si>
  <si>
    <t xml:space="preserve">crypte-archeologique-de-l-ile-de-la-cite</t>
  </si>
  <si>
    <t xml:space="preserve">Crypte archéologique de l'Île de la Cité</t>
  </si>
  <si>
    <t xml:space="preserve">à confirmer</t>
  </si>
  <si>
    <t xml:space="preserve">https://www.crypte.paris.fr/</t>
  </si>
  <si>
    <t xml:space="preserve">EXCEPTION a la regle Paris Musees : la Crypte est payante, comme les Catacombes. A verifier.</t>
  </si>
  <si>
    <t xml:space="preserve">Géré par Paris Musées — confirmer</t>
  </si>
  <si>
    <t xml:space="preserve">musee-du-louvre</t>
  </si>
  <si>
    <t xml:space="preserve">Musée du Louvre</t>
  </si>
  <si>
    <t xml:space="preserve">Nocturne du vendredi : vérifier le dispositif jeunes en cours</t>
  </si>
  <si>
    <t xml:space="preserve">musee-d-orsay</t>
  </si>
  <si>
    <t xml:space="preserve">Musée d'Orsay</t>
  </si>
  <si>
    <t xml:space="preserve">musee-de-l-orangerie-des-tuileries</t>
  </si>
  <si>
    <t xml:space="preserve">Musée de l'Orangerie des Tuileries</t>
  </si>
  <si>
    <t xml:space="preserve">Rattaché à Orsay</t>
  </si>
  <si>
    <t xml:space="preserve">musee-des-arts-asiatiques-guimet</t>
  </si>
  <si>
    <t xml:space="preserve">Musée des arts asiatiques Guimet</t>
  </si>
  <si>
    <t xml:space="preserve">musee-du-moyen-age-thermes-et-hotel-de-cluny</t>
  </si>
  <si>
    <t xml:space="preserve">Musée du Moyen Âge - thermes et hôtel de Cluny</t>
  </si>
  <si>
    <t xml:space="preserve">musee-du-quai-branly-jacques-chirac</t>
  </si>
  <si>
    <t xml:space="preserve">Musée du Quai Branly - Jacques Chirac</t>
  </si>
  <si>
    <t xml:space="preserve">musee-eugene-delacroix</t>
  </si>
  <si>
    <t xml:space="preserve">Musée Eugène Delacroix</t>
  </si>
  <si>
    <t xml:space="preserve">Rattaché au Louvre</t>
  </si>
  <si>
    <t xml:space="preserve">musee-gustave-moreau</t>
  </si>
  <si>
    <t xml:space="preserve">Musée Gustave Moreau</t>
  </si>
  <si>
    <t xml:space="preserve">musee-hebert</t>
  </si>
  <si>
    <t xml:space="preserve">Musée Hébert</t>
  </si>
  <si>
    <t xml:space="preserve">Le site parisien (rue du Cherche-Midi) est fermé de longue date — vérifier, sinon passer en « hors périmètre »</t>
  </si>
  <si>
    <t xml:space="preserve">musee-jean-jacques-henner</t>
  </si>
  <si>
    <t xml:space="preserve">Musée Jean-Jacques Henner</t>
  </si>
  <si>
    <t xml:space="preserve">musee-picasso</t>
  </si>
  <si>
    <t xml:space="preserve">Musée Picasso</t>
  </si>
  <si>
    <t xml:space="preserve">musee-rodin</t>
  </si>
  <si>
    <t xml:space="preserve">Musée Rodin</t>
  </si>
  <si>
    <t xml:space="preserve">musee-national-d-art-moderne-centre-national-d-art-et-de-cul</t>
  </si>
  <si>
    <t xml:space="preserve">Musée national d'art moderne (centre national d'art et de culture Georges Pompidou)</t>
  </si>
  <si>
    <t xml:space="preserve">ATTENTION : Centre Pompidou fermé pour travaux — vérifier le statut et les sites hors-les-murs</t>
  </si>
  <si>
    <t xml:space="preserve">musee-national-de-l-histoire-et-des-cultures-de-l-immigratio</t>
  </si>
  <si>
    <t xml:space="preserve">Musée national de l'histoire et des cultures de l'immigration</t>
  </si>
  <si>
    <t xml:space="preserve">Palais de la Porte Dorée</t>
  </si>
  <si>
    <t xml:space="preserve">musee-national-de-la-marine</t>
  </si>
  <si>
    <t xml:space="preserve">Musée national de la marine</t>
  </si>
  <si>
    <t xml:space="preserve">musee-national-de-la-legion-d-honneur-et-des-ordres-de-cheva</t>
  </si>
  <si>
    <t xml:space="preserve">Musée national de la Légion d'honneur et des ordres de chevalerie</t>
  </si>
  <si>
    <t xml:space="preserve">Souvent annoncé gratuit pour tous — à vérifier, exception probable</t>
  </si>
  <si>
    <t xml:space="preserve">musee-des-monuments-francais</t>
  </si>
  <si>
    <t xml:space="preserve">Musée des monuments français</t>
  </si>
  <si>
    <t xml:space="preserve">Cité de l'architecture et du patrimoine</t>
  </si>
  <si>
    <t xml:space="preserve">musee-des-plans-reliefs</t>
  </si>
  <si>
    <t xml:space="preserve">Musée des Plans-reliefs</t>
  </si>
  <si>
    <t xml:space="preserve">Situé aux Invalides, billet couplé musée de l'Armée</t>
  </si>
  <si>
    <t xml:space="preserve">musee-d-ennery</t>
  </si>
  <si>
    <t xml:space="preserve">Musée d'Ennery</t>
  </si>
  <si>
    <t xml:space="preserve">Rattaché à Guimet — ouverture très limitée, vérifier s'il est ouvert</t>
  </si>
  <si>
    <t xml:space="preserve">musee-de-l-ecole-nationale-superieure-des-beaux-arts</t>
  </si>
  <si>
    <t xml:space="preserve">Musée de l'Ecole nationale supérieure des beaux-arts</t>
  </si>
  <si>
    <t xml:space="preserve">ENSBA, ouvertures ponctuelles</t>
  </si>
  <si>
    <t xml:space="preserve">sainte-chapelle</t>
  </si>
  <si>
    <t xml:space="preserve">Sainte-Chapelle</t>
  </si>
  <si>
    <t xml:space="preserve">conciergerie</t>
  </si>
  <si>
    <t xml:space="preserve">Conciergerie</t>
  </si>
  <si>
    <t xml:space="preserve">arc-de-triomphe</t>
  </si>
  <si>
    <t xml:space="preserve">Arc de Triomphe</t>
  </si>
  <si>
    <t xml:space="preserve">pantheon</t>
  </si>
  <si>
    <t xml:space="preserve">Panthéon</t>
  </si>
  <si>
    <t xml:space="preserve">musee-de-l-armee</t>
  </si>
  <si>
    <t xml:space="preserve">Musée de l'armée</t>
  </si>
  <si>
    <t xml:space="preserve">Invalides</t>
  </si>
  <si>
    <t xml:space="preserve">musee-du-service-de-sante-des-armees-du-val-de-grace</t>
  </si>
  <si>
    <t xml:space="preserve">Musée du service de santé des armées du Val-de-Grâce</t>
  </si>
  <si>
    <t xml:space="preserve">Vérifier s'il est ouvert au public</t>
  </si>
  <si>
    <t xml:space="preserve">musee-des-arts-decoratifs-union-centrale-des-arts-decoratifs</t>
  </si>
  <si>
    <t xml:space="preserve">Musée des arts décoratifs (Union centrale des arts décoratifs)</t>
  </si>
  <si>
    <t xml:space="preserve">https://madparis.fr/Expositions-en-cours-104</t>
  </si>
  <si>
    <t xml:space="preserve">https://madparis.fr/Tarifs-et-gratuites</t>
  </si>
  <si>
    <t xml:space="preserve">MAD — association loi 1901</t>
  </si>
  <si>
    <t xml:space="preserve">billetterie.madparis.fr</t>
  </si>
  <si>
    <t xml:space="preserve">SPIP. ATTENTION : /Expositions-en-cours-104 renvoie une detection de bot. Utiliser le flux RSS https://madparis.fr/?id_rubrique=1&amp;page=backend (SPIP expose un flux par rubrique via ?id_rubrique=N&amp;page=backend). Le flux melange expos et ateliers enfants : filtrer. Titre reel dans l'ancre rel='directory', pas dans &lt;title&gt;. Images en lazy-load (placeholder rien.gif) : les vraies sont sous /local/cache-responsive/.</t>
  </si>
  <si>
    <t xml:space="preserve">https://madparis.fr/local/cache-gd2/76/01f25b5d5c55eb7553fae2870d6f6d.jpg</t>
  </si>
  <si>
    <t xml:space="preserve">https://madparis.fr/Horaires-7</t>
  </si>
  <si>
    <t xml:space="preserve">musee-nissim-de-camondo-union-centrale-des-arts-decoratifs</t>
  </si>
  <si>
    <t xml:space="preserve">Musée Nissim de Camondo (Union centrale des arts décoratifs)</t>
  </si>
  <si>
    <t xml:space="preserve">https://madparis.fr/Expositions-et-animations</t>
  </si>
  <si>
    <t xml:space="preserve">MAD</t>
  </si>
  <si>
    <t xml:space="preserve">Meme site et meme billetterie que le MAD. Une seule page tarifs pour les deux musees.</t>
  </si>
  <si>
    <t xml:space="preserve">https://madparis.fr/pratique-150</t>
  </si>
  <si>
    <t xml:space="preserve">musee-des-arts-et-metiers</t>
  </si>
  <si>
    <t xml:space="preserve">Musée des arts et métiers</t>
  </si>
  <si>
    <t xml:space="preserve">CNAM</t>
  </si>
  <si>
    <t xml:space="preserve">musee-de-l-institut-du-monde-arabe</t>
  </si>
  <si>
    <t xml:space="preserve">Musée de l'Institut du monde arabe</t>
  </si>
  <si>
    <t xml:space="preserve">https://www.imarabe.org/fr/agenda/expositions-musee</t>
  </si>
  <si>
    <t xml:space="preserve">https://www.imarabe.org/fr/horaires-tarifs</t>
  </si>
  <si>
    <t xml:space="preserve">Fondation IMA</t>
  </si>
  <si>
    <t xml:space="preserve">billetterie.imarabe.org</t>
  </si>
  <si>
    <t xml:space="preserve">Drupal 10. L'agenda est deja decoupe par rubrique : /fr/agenda/expositions-musee ne renvoie que les expos. Titre, dates et image sont tous dans la carte de la page liste, pas besoin d'ouvrir chaque fiche. Images sous /sites/default/files/styles/card_330x200/. Billetterie au meme format d'URL (selection/timeslotpass?productId=) que d'autres musees deja vus : connecteur mutualisable.</t>
  </si>
  <si>
    <t xml:space="preserve">https://www.imarabe.org/themes/custom/imarabe/images/build/logo.svg</t>
  </si>
  <si>
    <t xml:space="preserve">musee-d-art-et-d-histoire-du-judaisme</t>
  </si>
  <si>
    <t xml:space="preserve">Musée d'art et d'histoire du judaïsme</t>
  </si>
  <si>
    <t xml:space="preserve">https://www.mahj.org/fr/programme/l-agenda-du-mahj?f%5B0%5D=field_ag_type_manifestation%3A422</t>
  </si>
  <si>
    <t xml:space="preserve">https://www.mahj.org/fr/visiter/tarifs-et-reservations</t>
  </si>
  <si>
    <t xml:space="preserve">mahJ</t>
  </si>
  <si>
    <t xml:space="preserve">mahj.tickeasy.com (Vivaticket)</t>
  </si>
  <si>
    <t xml:space="preserve">Drupal 10. L'agenda se filtre par parametre d'URL : ?f[0]=field_ag_type_manifestation:422 ne renvoie que les expositions. Pages expo en /fr/programme/&lt;slug&gt;-&lt;id&gt;. Images sous /sites/default/files/styles/. Meme plateforme de billetterie (Tickeasy/Vivaticket) que d'autres musees : un seul connecteur les couvre. Tarifs complets aussi dans un PDF : /sites/default/files/2026-03/Tarifs individuels 2026_1.pdf</t>
  </si>
  <si>
    <t xml:space="preserve">https://www.mahj.org/sites/default/files/styles/max_650x650/public/2023-06/HD659-OKV2-min.jpg?itok=JUOX6dXM</t>
  </si>
  <si>
    <t xml:space="preserve">https://www.mahj.org/fr/visiter/acces-et-horaires</t>
  </si>
  <si>
    <t xml:space="preserve">fondation-cartier-pour-l-art-contemporain</t>
  </si>
  <si>
    <t xml:space="preserve">Fondation Cartier pour l'art contemporain</t>
  </si>
  <si>
    <t xml:space="preserve">https://www.fondationcartier.com/en-ce-moment</t>
  </si>
  <si>
    <t xml:space="preserve">https://www.fondationcartier.com/informations-pratiques</t>
  </si>
  <si>
    <t xml:space="preserve">Déménagée au 2 place du Palais-Royal en 2025. Réduit dès -30 ans (pas 26). Adhésion 18-29 ans : 20 €/an illimité</t>
  </si>
  <si>
    <t xml:space="preserve">billetterie interne</t>
  </si>
  <si>
    <t xml:space="preserve">Site Laravel, pages expo en /programme/exposition/&lt;slug&gt;. Agenda listé sur /agenda. Conditions tarifaires dans un PDF lié depuis infos-pratiques.</t>
  </si>
  <si>
    <t xml:space="preserve">https://www.fondationcartier.com/cover.png</t>
  </si>
  <si>
    <t xml:space="preserve">bourse-de-commerce-pinault-collection</t>
  </si>
  <si>
    <t xml:space="preserve">Bourse de Commerce - Pinault Collection</t>
  </si>
  <si>
    <t xml:space="preserve">https://www.pinaultcollection.com/fr/boursedecommerce/programme</t>
  </si>
  <si>
    <t xml:space="preserve">https://www.pinaultcollection.com/fr/boursedecommerce/infos-pratiques</t>
  </si>
  <si>
    <t xml:space="preserve">Carte Super Cercle 18-26 gratuite : entrée gratuite après 16h, demi-tarif avant. Tarifs réduits « musée en mouvement » jusqu'au 5 oct.</t>
  </si>
  <si>
    <t xml:space="preserve">billetterie.pinaultcollection.com</t>
  </si>
  <si>
    <t xml:space="preserve">Drupal 10. Programme filtrable par query string (?date=all&amp;type=expo&amp;audience=all), donc facile à parser. Tarifs en clair dans le HTML.</t>
  </si>
  <si>
    <t xml:space="preserve">https://www.pinaultcollection.com/www.pinaultcollection.com/p/styles/home_header/public/practical/bdc-practical-header.jpg</t>
  </si>
  <si>
    <t xml:space="preserve">musee-de-montmartre</t>
  </si>
  <si>
    <t xml:space="preserve">Musée de Montmartre</t>
  </si>
  <si>
    <t xml:space="preserve">https://museedemontmartre.fr/expositions-evenements/</t>
  </si>
  <si>
    <t xml:space="preserve">https://museedemontmartre.fr/preparez-votre-visite/</t>
  </si>
  <si>
    <t xml:space="preserve">T4</t>
  </si>
  <si>
    <t xml:space="preserve">ATTENTION : le robots.txt du site INTERDIT les robots. Ne pas crawler. Passer par la newsletter, le service presse (presse@museedemontmartre.fr) ou une saisie manuelle. Les URL ci-contre sont a verifier a la main dans un navigateur.</t>
  </si>
  <si>
    <t xml:space="preserve">PAS DE LOGO RECUPERE</t>
  </si>
  <si>
    <t xml:space="preserve">musee-yves-saint-laurent-paris</t>
  </si>
  <si>
    <t xml:space="preserve">Musée Yves Saint Laurent Paris</t>
  </si>
  <si>
    <t xml:space="preserve">Fondation Pierre Bergé - YSL</t>
  </si>
  <si>
    <t xml:space="preserve">musee-de-la-musique</t>
  </si>
  <si>
    <t xml:space="preserve">Musée de la musique</t>
  </si>
  <si>
    <t xml:space="preserve">https://philharmoniedeparis.fr/fr/expositions</t>
  </si>
  <si>
    <t xml:space="preserve">https://philharmoniedeparis.fr/fr/musee-de-la-musique</t>
  </si>
  <si>
    <t xml:space="preserve">Philharmonie de Paris</t>
  </si>
  <si>
    <t xml:space="preserve">T3</t>
  </si>
  <si>
    <t xml:space="preserve">billetterie philharmoniedeparis.fr</t>
  </si>
  <si>
    <t xml:space="preserve">Site de la Philharmonie : le musee partage le site avec la salle de concert, donc l'agenda melange concerts, spectacles et expositions. Bien filtrer sur le type. URL a confirmer.</t>
  </si>
  <si>
    <t xml:space="preserve">musee-de-la-poste</t>
  </si>
  <si>
    <t xml:space="preserve">Musée de la poste</t>
  </si>
  <si>
    <t xml:space="preserve">Groupe La Poste</t>
  </si>
  <si>
    <t xml:space="preserve">musee-des-monnaies-et-medailles</t>
  </si>
  <si>
    <t xml:space="preserve">Musée des monnaies et médailles</t>
  </si>
  <si>
    <t xml:space="preserve">Monnaie de Paris — EPIC</t>
  </si>
  <si>
    <t xml:space="preserve">musee-de-la-franc-maconnerie</t>
  </si>
  <si>
    <t xml:space="preserve">Musée de la franc-maçonnerie</t>
  </si>
  <si>
    <t xml:space="preserve">GODF</t>
  </si>
  <si>
    <t xml:space="preserve">musee-de-la-grande-loge-de-france</t>
  </si>
  <si>
    <t xml:space="preserve">Musée de la Grande Loge de France</t>
  </si>
  <si>
    <t xml:space="preserve">Accès possiblement sur rendez-vous</t>
  </si>
  <si>
    <t xml:space="preserve">musee-d-art-et-d-histoire-de-l-hopital-sainte-anne</t>
  </si>
  <si>
    <t xml:space="preserve">Musée d'art et d'histoire de l'hôpital Sainte-Anne</t>
  </si>
  <si>
    <t xml:space="preserve">MAHHSA — ouverture limitée</t>
  </si>
  <si>
    <t xml:space="preserve">musee-de-l-assistance-publique-hopitaux-de-paris</t>
  </si>
  <si>
    <t xml:space="preserve">Musée de l'assistance publique - hôpitaux de Paris</t>
  </si>
  <si>
    <t xml:space="preserve">Vérifier s'il a rouvert</t>
  </si>
  <si>
    <t xml:space="preserve">museum-national-d-histoire-naturelle</t>
  </si>
  <si>
    <t xml:space="preserve">Muséum national d'histoire naturelle</t>
  </si>
  <si>
    <t xml:space="preserve">Tarification propre au MNHN, pas la règle musées nationaux</t>
  </si>
  <si>
    <t xml:space="preserve">grande-galerie-de-l-evolution</t>
  </si>
  <si>
    <t xml:space="preserve">Grande Galerie de l'Évolution</t>
  </si>
  <si>
    <t xml:space="preserve">Site du MNHN — rattacher au MNHN, pas une fiche autonome ?</t>
  </si>
  <si>
    <t xml:space="preserve">cite-des-sciences-et-de-l-industrie</t>
  </si>
  <si>
    <t xml:space="preserve">Cité des Sciences et de l'Industrie</t>
  </si>
  <si>
    <t xml:space="preserve">Universcience — EPIC, tarification propre</t>
  </si>
  <si>
    <t xml:space="preserve">lieu_id</t>
  </si>
  <si>
    <t xml:space="preserve">portee</t>
  </si>
  <si>
    <t xml:space="preserve">regime</t>
  </si>
  <si>
    <t xml:space="preserve">audience</t>
  </si>
  <si>
    <t xml:space="preserve">prix</t>
  </si>
  <si>
    <t xml:space="preserve">plein_tarif</t>
  </si>
  <si>
    <t xml:space="preserve">recurrence</t>
  </si>
  <si>
    <t xml:space="preserve">justificatif</t>
  </si>
  <si>
    <t xml:space="preserve">source_url</t>
  </si>
  <si>
    <t xml:space="preserve">verifie_le</t>
  </si>
  <si>
    <t xml:space="preserve">verifie_par</t>
  </si>
  <si>
    <t xml:space="preserve">temporaire</t>
  </si>
  <si>
    <t xml:space="preserve">reduit</t>
  </si>
  <si>
    <t xml:space="preserve">moins_30</t>
  </si>
  <si>
    <t xml:space="preserve">toujours</t>
  </si>
  <si>
    <t xml:space="preserve">Pièce d'identité</t>
  </si>
  <si>
    <t xml:space="preserve">https://www.fondationcartier.com/informations-pratiques (PDF conditions)</t>
  </si>
  <si>
    <t xml:space="preserve">claude</t>
  </si>
  <si>
    <t xml:space="preserve">etudiant_art</t>
  </si>
  <si>
    <t xml:space="preserve">Attestation de scolarité mentionnant la matière (art, conservatoire)</t>
  </si>
  <si>
    <t xml:space="preserve">demandeur_emploi</t>
  </si>
  <si>
    <t xml:space="preserve">Justificatif de moins de 3 mois</t>
  </si>
  <si>
    <t xml:space="preserve">enseignant</t>
  </si>
  <si>
    <t xml:space="preserve">Pass Éducation en cours de validité</t>
  </si>
  <si>
    <t xml:space="preserve">gratuit</t>
  </si>
  <si>
    <t xml:space="preserve">moins_18</t>
  </si>
  <si>
    <t xml:space="preserve">minima_sociaux</t>
  </si>
  <si>
    <t xml:space="preserve">demandeur_asile</t>
  </si>
  <si>
    <t xml:space="preserve">Attestation de demande d'asile ou carte de séjour « réfugié »</t>
  </si>
  <si>
    <t xml:space="preserve">handicap</t>
  </si>
  <si>
    <t xml:space="preserve">Carte MDPH, accompagnateur inclus</t>
  </si>
  <si>
    <t xml:space="preserve">enseignant_arts_visuels</t>
  </si>
  <si>
    <t xml:space="preserve">Attestation professionnelle ou certificat d'exercice</t>
  </si>
  <si>
    <t xml:space="preserve">journaliste</t>
  </si>
  <si>
    <t xml:space="preserve">Carte de presse</t>
  </si>
  <si>
    <t xml:space="preserve">abonnement</t>
  </si>
  <si>
    <t xml:space="preserve">18_29_ans</t>
  </si>
  <si>
    <t xml:space="preserve">annuel</t>
  </si>
  <si>
    <t xml:space="preserve">Adhésion « SOUVENT -30 » : accès illimité 1 an, pièce d'identité</t>
  </si>
  <si>
    <t xml:space="preserve">moins_26</t>
  </si>
  <si>
    <t xml:space="preserve">Pièce d'identité (18-26 ans)</t>
  </si>
  <si>
    <t xml:space="preserve">apres_16h</t>
  </si>
  <si>
    <t xml:space="preserve">Carte Super Cercle (gratuite, 18-26 ans) + justificatif d'âge</t>
  </si>
  <si>
    <t xml:space="preserve">avant_16h</t>
  </si>
  <si>
    <t xml:space="preserve">Carte Super Cercle : demi-tarif avant 16h</t>
  </si>
  <si>
    <t xml:space="preserve">Accès prioritaire, accompagnateur inclus</t>
  </si>
  <si>
    <t xml:space="preserve">tous</t>
  </si>
  <si>
    <t xml:space="preserve">jusqu_au_5_oct_2026</t>
  </si>
  <si>
    <t xml:space="preserve">Tarif « musée en mouvement » : 9 € plein / 7 € réduit jusqu'au 5 octobre</t>
  </si>
  <si>
    <t xml:space="preserve">tout</t>
  </si>
  <si>
    <t xml:space="preserve">Pièce d'identité. 18-25 ans : dans la limite des places disponibles. Réservation en ligne conseillée</t>
  </si>
  <si>
    <t xml:space="preserve">Demandeurs d'emploi français</t>
  </si>
  <si>
    <t xml:space="preserve">Bénéficiaires du RSA</t>
  </si>
  <si>
    <t xml:space="preserve">Pass Éducation (1er et 2d degrés)</t>
  </si>
  <si>
    <t xml:space="preserve">Carte mobilité inclusion mention « invalidité », accompagnateur inclus</t>
  </si>
  <si>
    <t xml:space="preserve">Carte de presse (aussi ICOM, ICOMOS, AICA)</t>
  </si>
  <si>
    <t xml:space="preserve">partenariats</t>
  </si>
  <si>
    <t xml:space="preserve">Chèques vacances ou culture, ou partenariat, sur justificatif</t>
  </si>
  <si>
    <t xml:space="preserve">permanent</t>
  </si>
  <si>
    <t xml:space="preserve">moins_26_ue</t>
  </si>
  <si>
    <t xml:space="preserve">18-25 ans residents UE : collection permanente + foyer gratuits</t>
  </si>
  <si>
    <t xml:space="preserve">18-25 ans residents UE : 5 EUR pour l'exposition du corps de logis</t>
  </si>
  <si>
    <t xml:space="preserve">1er_samedi_oct_a_juin</t>
  </si>
  <si>
    <t xml:space="preserve">Collection gratuite pour tous + visite guidee gratuite « Shabbat est une fete » a 15h</t>
  </si>
  <si>
    <t xml:space="preserve">Galerie contemporaine : acces libre pour tout le monde</t>
  </si>
  <si>
    <t xml:space="preserve">Piece d'identite</t>
  </si>
  <si>
    <t xml:space="preserve">Etudiants en architecture, art, histoire, sciences religieuses</t>
  </si>
  <si>
    <t xml:space="preserve">Justificatif de moins de 6 mois</t>
  </si>
  <si>
    <t xml:space="preserve">RSA, ASS, ASPA, CSS, AME, etc.</t>
  </si>
  <si>
    <t xml:space="preserve">Statut refugie (OFPRA)</t>
  </si>
  <si>
    <t xml:space="preserve">Pass Education</t>
  </si>
  <si>
    <t xml:space="preserve">Carte MDPH ou ONACVG, accompagnateur inclus</t>
  </si>
  <si>
    <t xml:space="preserve">Carte de presse, aussi ICOM et Carte Culture</t>
  </si>
  <si>
    <t xml:space="preserve">9 EUR : 18-25 ans HORS Union europeenne, famille nombreuse, partenaires</t>
  </si>
  <si>
    <t xml:space="preserve">Moins de 26 ans ressortissants UE. Contremarque a retirer a l'accueil meme en cas de gratuite</t>
  </si>
  <si>
    <t xml:space="preserve">Beneficiaires du RSA</t>
  </si>
  <si>
    <t xml:space="preserve">CMI Invalidite, Priorite ou Stationnement ; accompagnateur gratuit</t>
  </si>
  <si>
    <t xml:space="preserve">Carte de presse, aussi ICOM/ICOMOS, conferenciers, guides, Maison des artistes</t>
  </si>
  <si>
    <t xml:space="preserve">Tarif demandeur d'emploi 6 EUR</t>
  </si>
  <si>
    <t xml:space="preserve">A VERIFIER : billet combine musee + exposition a 16 EUR. Verifier si la gratuite -26 couvre aussi l'expo temporaire ou seulement le musee</t>
  </si>
  <si>
    <t xml:space="preserve">etudiant</t>
  </si>
  <si>
    <t xml:space="preserve">Etudiants 18-25 ans, sur justificatif</t>
  </si>
  <si>
    <t xml:space="preserve">Personnes en situation de handicap</t>
  </si>
  <si>
    <t xml:space="preserve">Jeunes de 10 a 17 ans</t>
  </si>
  <si>
    <t xml:space="preserve">Enfants de moins de 10 ans seulement</t>
  </si>
  <si>
    <t xml:space="preserve">ICOM, guides-conferenciers, professionnels du tourisme, Vieux Montmartre. ATTENTION : la carte de presse ne donne PAS la gratuite sans accreditation prealable</t>
  </si>
  <si>
    <t xml:space="preserve">Jardins Renoir seuls : 5 EUR</t>
  </si>
  <si>
    <t xml:space="preserve">Carte annuelle Musee + Jardins (DUO 75 EUR)</t>
  </si>
  <si>
    <t xml:space="preserve">Moins de 26 ans ressortissants UE. Collections permanentes UNIQUEMENT, pas les expos temporaires</t>
  </si>
  <si>
    <t xml:space="preserve">Collections permanentes uniquement</t>
  </si>
  <si>
    <t xml:space="preserve">RSA. Collections permanentes uniquement</t>
  </si>
  <si>
    <t xml:space="preserve">Pass Education. Collections permanentes uniquement</t>
  </si>
  <si>
    <t xml:space="preserve">5 EUR pour les expos temporaires. Le billet expo donne aussi acces aux collections permanentes</t>
  </si>
  <si>
    <t xml:space="preserve">Aussi RSA et APASA</t>
  </si>
  <si>
    <t xml:space="preserve">Acces aux collections gratuit pour tout le monde, sans condition</t>
  </si>
  <si>
    <t xml:space="preserve">Expositions temporaires payantes. Grille de tarifs a recuperer sur la page infos pratiques</t>
  </si>
  <si>
    <t xml:space="preserve">Une ligne = un droit d'accès. Un lieu peut en avoir 10.</t>
  </si>
  <si>
    <t xml:space="preserve">audience : tous | moins_18 | moins_26 | moins_26_ue | moins_30 | etudiant | etudiant_art | demandeur_emploi | minima_sociaux | enseignant | handicap | journaliste | demandeur_asile</t>
  </si>
  <si>
    <t xml:space="preserve">regime : gratuit | reduit | abonnement    ·    recurrence : toujours | 1er_dimanche | nocturne_&lt;jour&gt; | apres_16h | &lt;période datée&gt;</t>
  </si>
  <si>
    <t xml:space="preserve">titre</t>
  </si>
  <si>
    <t xml:space="preserve">date_debut</t>
  </si>
  <si>
    <t xml:space="preserve">date_fin</t>
  </si>
  <si>
    <t xml:space="preserve">description</t>
  </si>
  <si>
    <t xml:space="preserve">url</t>
  </si>
  <si>
    <t xml:space="preserve">image_url</t>
  </si>
  <si>
    <t xml:space="preserve">source</t>
  </si>
  <si>
    <t xml:space="preserve">Ibrahim Mahama. Le Temps des récoltes</t>
  </si>
  <si>
    <t xml:space="preserve">2026-10-22</t>
  </si>
  <si>
    <t xml:space="preserve">2027-02-28</t>
  </si>
  <si>
    <t xml:space="preserve">Exposition consacrée à l'artiste ghanéen Ibrahim Mahama et à ses compagnons, dans les nouveaux espaces du Palais-Royal.</t>
  </si>
  <si>
    <t xml:space="preserve">https://www.fondationcartier.com/programme/exposition/le-temps-des-recoltes-ibrahim-mahama</t>
  </si>
  <si>
    <t xml:space="preserve">https://www.fondationcartier.com/img/26caea61-f211-4a7c-9173-b0ca76b7961d/le-temps-des-recoltes-ibrahim-mahama-2025-kv.jpg</t>
  </si>
  <si>
    <t xml:space="preserve">complet</t>
  </si>
  <si>
    <t xml:space="preserve">site officiel</t>
  </si>
  <si>
    <t xml:space="preserve">Raymond Hains : l'œuvre en chantier. Du Grand Louvre aux 3 Cartier</t>
  </si>
  <si>
    <t xml:space="preserve">2026-06-09</t>
  </si>
  <si>
    <t xml:space="preserve">2026-10-26</t>
  </si>
  <si>
    <t xml:space="preserve">Parcours consacré à Raymond Hains, présenté place du Palais-Royal.</t>
  </si>
  <si>
    <t xml:space="preserve">https://www.fondationcartier.com/programme/exposition/raymond-hains-l-oeuvre-en-chantier-du-grand-louvre-aux-3-cartier-place-palais-royal</t>
  </si>
  <si>
    <t xml:space="preserve">https://www.fondationcartier.com/img/2fbc6ff8-7a4a-4c59-b321-b7351b8a6691/sans-titre-1994-raymond-hains.jpg</t>
  </si>
  <si>
    <t xml:space="preserve">Remember Me</t>
  </si>
  <si>
    <t xml:space="preserve">2026-10-07</t>
  </si>
  <si>
    <t xml:space="preserve">Exposition en préparation pendant la période « musée en mouvement » (26 août au 5 octobre). Dates de fin à confirmer.</t>
  </si>
  <si>
    <t xml:space="preserve">dates_a_confirmer</t>
  </si>
  <si>
    <t xml:space="preserve">Collections permanentes. Arts décoratifs, bijoux, design</t>
  </si>
  <si>
    <t xml:space="preserve">Plus d'un million d'œuvres présentées sur sept étages, du Moyen Âge à nos jours. Audioguide inclus dans le billet.</t>
  </si>
  <si>
    <t xml:space="preserve">https://madparis.fr/Collections-permanentes-Arts-decoratifs-Design-Bijoux</t>
  </si>
  <si>
    <t xml:space="preserve">LOGO_MUSEE</t>
  </si>
  <si>
    <t xml:space="preserve">image_a_recuperer</t>
  </si>
  <si>
    <t xml:space="preserve">Une journée au XVIIIe siècle, chronique d'un hôtel particulier</t>
  </si>
  <si>
    <t xml:space="preserve">2026-02-18</t>
  </si>
  <si>
    <t xml:space="preserve">2026-10-04</t>
  </si>
  <si>
    <t xml:space="preserve">https://madparis.fr/Une-journee-au-XVIIIe-siecle-chronique-d-un-hotel-particulier-10157</t>
  </si>
  <si>
    <t xml:space="preserve">La Mode en majesté. Haute couture et tradition à la cour de Thaïlande</t>
  </si>
  <si>
    <t xml:space="preserve">2026-05-13</t>
  </si>
  <si>
    <t xml:space="preserve">2026-11-01</t>
  </si>
  <si>
    <t xml:space="preserve">https://madparis.fr/La-Mode-en-majeste-Haute-couture-et-tradition-a-la-cour-de-Thailande-10206</t>
  </si>
  <si>
    <t xml:space="preserve">Paris &gt; Kyoto &gt; Paris. Quatre designers de retour du Japon</t>
  </si>
  <si>
    <t xml:space="preserve">2026-09-10</t>
  </si>
  <si>
    <t xml:space="preserve">2027-01-31</t>
  </si>
  <si>
    <t xml:space="preserve">Les œuvres réunies rapportent toutes quelque chose du Japon sans jamais le contrefaire. Nina Fradet, Tony Jouanneau, Felipe Ribon et Marion Vidal convoquent la biologie, l'art, l'architecture et la mode.</t>
  </si>
  <si>
    <t xml:space="preserve">https://madparis.fr/Paris-Kyoto-Paris-Quatre-designers-de-retour-du-Japon</t>
  </si>
  <si>
    <t xml:space="preserve">Look ! 40 ans de mode au musée</t>
  </si>
  <si>
    <t xml:space="preserve">2026-09-30</t>
  </si>
  <si>
    <t xml:space="preserve">2027-04-04</t>
  </si>
  <si>
    <t xml:space="preserve">Immersion dans les coulisses du musée : documenter, conditionner, restaurer et mannequiner un patrimoine de mode destiné aux générations futures. Fonds de l'Union française des Arts du Costume.</t>
  </si>
  <si>
    <t xml:space="preserve">https://madparis.fr/Look-40-ans-de-mode-au-musee-10263</t>
  </si>
  <si>
    <t xml:space="preserve">Marion Delarue. Pierre, plume, ciseaux !</t>
  </si>
  <si>
    <t xml:space="preserve">2026-10-06</t>
  </si>
  <si>
    <t xml:space="preserve">Exposition-focus. Ornements en plume, nacre, porcelaine, verre et laque ; recherche autour de la technique chinoise du tian-ts'ui.</t>
  </si>
  <si>
    <t xml:space="preserve">https://madparis.fr/exposition-focus-marion-delarue</t>
  </si>
  <si>
    <t xml:space="preserve">Rafael Pavarotti, photographe</t>
  </si>
  <si>
    <t xml:space="preserve">2026-10-02</t>
  </si>
  <si>
    <t xml:space="preserve">Le photographe de mode brésilien, passé par Rio, São Paulo et Londres avant Paris, publié dans Vogue, i-D et le New York Times.</t>
  </si>
  <si>
    <t xml:space="preserve">https://madparis.fr/Rafael-Pavarotti-photographe</t>
  </si>
  <si>
    <t xml:space="preserve">Le monde de Viktor&amp;Rolf. 30 ans de haute couture</t>
  </si>
  <si>
    <t xml:space="preserve">2027-01-28</t>
  </si>
  <si>
    <t xml:space="preserve">Depuis le début des années 1990, Viktor&amp;Rolf conçoivent leurs collections comme des propositions artistiques explorant l'identité, la représentation et la transformation.</t>
  </si>
  <si>
    <t xml:space="preserve">https://madparis.fr/Le-monde-de-Viktor-Rolf-30-ans-de-haute-couture</t>
  </si>
  <si>
    <t xml:space="preserve">Collections permanentes du musée Nissim de Camondo</t>
  </si>
  <si>
    <t xml:space="preserve">Hôtel particulier en bordure du parc Monceau, conservé dans son état d'origine, collection d'arts décoratifs du XVIIIe siècle.</t>
  </si>
  <si>
    <t xml:space="preserve">https://madparis.fr/Musee-Nissim-de-Camondo-125</t>
  </si>
  <si>
    <t xml:space="preserve">Parcours permanent</t>
  </si>
  <si>
    <t xml:space="preserve">Deux mille ans de presence juive en France, replacee dans l'histoire du judaisme. Objets de culte, manuscrits, textiles et peintres de l'Ecole de Paris. Audioguide inclus.</t>
  </si>
  <si>
    <t xml:space="preserve">https://www.mahj.org/fr/parcours-permanent</t>
  </si>
  <si>
    <t xml:space="preserve">Marc Chagall. « Jour de fete », 1914</t>
  </si>
  <si>
    <t xml:space="preserve">Accrochage autour d'une toile de Chagall.</t>
  </si>
  <si>
    <t xml:space="preserve">https://www.mahj.org/fr/programme/marc-chagall-jour-de-fete-1914-31667</t>
  </si>
  <si>
    <t xml:space="preserve">Chaim Kaliski. « Jim d'Etterbeek »</t>
  </si>
  <si>
    <t xml:space="preserve">2026-12-13</t>
  </si>
  <si>
    <t xml:space="preserve">Dessins a l'aquarelle et a l'encre de Chine : enfants, soldats, une cache, Anne Frank.</t>
  </si>
  <si>
    <t xml:space="preserve">https://www.mahj.org/fr/programme/chaim-kaliski-jim-detterbeek-31561</t>
  </si>
  <si>
    <t xml:space="preserve">L'Ecole de Paris dans les collections du mahJ</t>
  </si>
  <si>
    <t xml:space="preserve">Accrochage consacre aux peintres de l'Ecole de Paris conserves par le musee.</t>
  </si>
  <si>
    <t xml:space="preserve">https://www.mahj.org/fr/programme/lecole-de-paris-dans-les-collections-du-mahj-31638</t>
  </si>
  <si>
    <t xml:space="preserve">Itineraires d'oeuvres spoliees. Diane Esmond et Fedor Lowenstein</t>
  </si>
  <si>
    <t xml:space="preserve">Accrochage sur le parcours d'oeuvres spoliees et leur restitution.</t>
  </si>
  <si>
    <t xml:space="preserve">https://www.mahj.org/fr/programme/itineraires-doeuvres-spoliees-diane-esmond-et-fedor-lowenstein-31622</t>
  </si>
  <si>
    <t xml:space="preserve">Decouvrez le musee de l'IMA</t>
  </si>
  <si>
    <t xml:space="preserve">Quatre niveaux organises autour de cinq thematiques : naissance d'une identite, des dieux a Dieu, deambuler dans une ville arabe, les expressions de la beaute, le corps soi et les autres.</t>
  </si>
  <si>
    <t xml:space="preserve">https://www.imarabe.org/fr/agenda/collections/decouvrez-musee-ima</t>
  </si>
  <si>
    <t xml:space="preserve">https://www.imarabe.org/sites/default/files/styles/card_330x200/public/2023-09/musee-ima-test.jpg</t>
  </si>
  <si>
    <t xml:space="preserve">Vive la mariee ! Algerie, Maroc, Tunisie</t>
  </si>
  <si>
    <t xml:space="preserve">2026-09-29</t>
  </si>
  <si>
    <t xml:space="preserve">Exposition-evenement consacree aux rituels et parures du mariage au Maghreb, accompagnee d'un temps fort de rencontres, cinema et concerts du 8 au 11 octobre.</t>
  </si>
  <si>
    <t xml:space="preserve">https://www.imarabe.org/fr/agenda/expositions-musee/vive-mariee</t>
  </si>
  <si>
    <t xml:space="preserve">https://www.imarabe.org/sites/default/files/styles/card_330x200/public/2026-07/hourouk-rhaiem-nuptiae-neapolis-2026.jpg</t>
  </si>
  <si>
    <t xml:space="preserve">La Palestine photographiee par Joss Dray</t>
  </si>
  <si>
    <t xml:space="preserve">Exposition de photographies de Joss Dray consacree a la Palestine.</t>
  </si>
  <si>
    <t xml:space="preserve">https://www.imarabe.org/fr/agenda/expositions-musee/palestine-photographiee-par-joss-dray</t>
  </si>
  <si>
    <t xml:space="preserve">https://www.imarabe.org/sites/default/files/styles/card_330x200/public/2026-07/gaza_065.jpg</t>
  </si>
  <si>
    <t xml:space="preserve">Parcours de visite des collections</t>
  </si>
  <si>
    <t xml:space="preserve">Hotel Scheffer-Renan, maison de l'atelier d'Ary Scheffer. Collections consacrees au romantisme parisien du XIXe siecle. Salon de the Rose Bakery et jardin.</t>
  </si>
  <si>
    <t xml:space="preserve">https://museevieromantique.paris.fr/les-collections/le-parcours-de-visite</t>
  </si>
  <si>
    <t xml:space="preserve">statut : complet = publiable tel quel · les autres attendent une image ou une date de fin</t>
  </si>
  <si>
    <t xml:space="preserve">image_url = LOGO_MUSEE : expo permanente, utiliser le logo_url du lieu (onglet Lieux)</t>
  </si>
  <si>
    <t xml:space="preserve">Astuce : la balise &lt;meta og:image&gt; de la page donne presque toujours une image exploitable.</t>
  </si>
  <si>
    <t xml:space="preserve">jour_num</t>
  </si>
  <si>
    <t xml:space="preserve">jour</t>
  </si>
  <si>
    <t xml:space="preserve">ferme</t>
  </si>
  <si>
    <t xml:space="preserve">ouverture</t>
  </si>
  <si>
    <t xml:space="preserve">fermeture</t>
  </si>
  <si>
    <t xml:space="preserve">nocturne</t>
  </si>
  <si>
    <t xml:space="preserve">derniere_entree_min</t>
  </si>
  <si>
    <t xml:space="preserve">valide_du</t>
  </si>
  <si>
    <t xml:space="preserve">valide_au</t>
  </si>
  <si>
    <t xml:space="preserve">note</t>
  </si>
  <si>
    <t xml:space="preserve">lundi</t>
  </si>
  <si>
    <t xml:space="preserve">oui</t>
  </si>
  <si>
    <t xml:space="preserve">non</t>
  </si>
  <si>
    <t xml:space="preserve">mardi</t>
  </si>
  <si>
    <t xml:space="preserve">10:00</t>
  </si>
  <si>
    <t xml:space="preserve">18:00</t>
  </si>
  <si>
    <t xml:space="preserve">Jours feries : horaires du week-end (10h-19h)</t>
  </si>
  <si>
    <t xml:space="preserve">mercredi</t>
  </si>
  <si>
    <t xml:space="preserve">jeudi</t>
  </si>
  <si>
    <t xml:space="preserve">vendredi</t>
  </si>
  <si>
    <t xml:space="preserve">samedi</t>
  </si>
  <si>
    <t xml:space="preserve">19:00</t>
  </si>
  <si>
    <t xml:space="preserve">dimanche</t>
  </si>
  <si>
    <t xml:space="preserve">2026-10-14</t>
  </si>
  <si>
    <t xml:space="preserve">11:00</t>
  </si>
  <si>
    <t xml:space="preserve">Horaires annonces jusqu'au 14 octobre 2026, a reverifier ensuite</t>
  </si>
  <si>
    <t xml:space="preserve">21:00</t>
  </si>
  <si>
    <t xml:space="preserve">Nocturne du jeudi : expositions temporaires et galerie des bijoux UNIQUEMENT, pas les collections permanentes</t>
  </si>
  <si>
    <t xml:space="preserve">Ferme jusqu'a la reouverture du 22 octobre 2026</t>
  </si>
  <si>
    <t xml:space="preserve">22:00</t>
  </si>
  <si>
    <t xml:space="preserve">Nocturne du vendredi</t>
  </si>
  <si>
    <t xml:space="preserve">Ferme le mardi. Pas de nocturne le vendredi</t>
  </si>
  <si>
    <t xml:space="preserve">Ouvert tous les jours. Les 25 decembre et 1er janvier : 11h30-18h</t>
  </si>
  <si>
    <t xml:space="preserve">12:00</t>
  </si>
  <si>
    <t xml:space="preserve">Horaires des collections permanentes. Les expositions temporaires ont leurs propres horaires</t>
  </si>
  <si>
    <t xml:space="preserve">20:00</t>
  </si>
  <si>
    <t xml:space="preserve">A VERIFIER : nocturnes annoncees vendredi, samedi et dimanche jusqu'a 20h pendant les expositions temporaires seulement</t>
  </si>
  <si>
    <t xml:space="preserve">A VERIFIER, idem</t>
  </si>
  <si>
    <t xml:space="preserve">Evacuation des salles a 17h50</t>
  </si>
  <si>
    <t xml:space="preserve">Une ligne = un creneau d'ouverture. 7 lignes minimum par lieu, plus une ligne par nocturne.</t>
  </si>
  <si>
    <t xml:space="preserve">Pour afficher « ouvert jusqu'a 18h » : prendre le jour d'aujourd'hui, verifier l'onglet Fermetures, lire fermeture.</t>
  </si>
  <si>
    <t xml:space="preserve">portee = temporaire : le creneau ne vaut QUE pour les expos temporaires (cas de la nocturne du MAD).</t>
  </si>
  <si>
    <t xml:space="preserve">date</t>
  </si>
  <si>
    <t xml:space="preserve">libelle</t>
  </si>
  <si>
    <t xml:space="preserve">recurrent_annuel</t>
  </si>
  <si>
    <t xml:space="preserve">05-01</t>
  </si>
  <si>
    <t xml:space="preserve">1er mai</t>
  </si>
  <si>
    <t xml:space="preserve">01-01</t>
  </si>
  <si>
    <t xml:space="preserve">1er janvier</t>
  </si>
  <si>
    <t xml:space="preserve">12-25</t>
  </si>
  <si>
    <t xml:space="preserve">25 decembre</t>
  </si>
  <si>
    <t xml:space="preserve">12-24</t>
  </si>
  <si>
    <t xml:space="preserve">24 decembre</t>
  </si>
  <si>
    <t xml:space="preserve">Fermeture anticipee a 18h, pas une fermeture totale</t>
  </si>
  <si>
    <t xml:space="preserve">12-31</t>
  </si>
  <si>
    <t xml:space="preserve">31 decembre</t>
  </si>
  <si>
    <t xml:space="preserve">2026-08-26</t>
  </si>
  <si>
    <t xml:space="preserve">Musee en mouvement</t>
  </si>
  <si>
    <t xml:space="preserve">Du 26 aout au 5 octobre 2026 : montage de l'exposition Remember Me, tarifs reduits</t>
  </si>
  <si>
    <t xml:space="preserve">date au format MM-JJ si recurrent_annuel = oui, sinon AAAA-MM-JJ.</t>
  </si>
  <si>
    <t xml:space="preserve">Avancement</t>
  </si>
  <si>
    <t xml:space="preserve">Lieux au total</t>
  </si>
  <si>
    <t xml:space="preserve">Vérifiés</t>
  </si>
  <si>
    <t xml:space="preserve">Restants</t>
  </si>
  <si>
    <t xml:space="preserve">Avec URL expos</t>
  </si>
  <si>
    <t xml:space="preserve">% avancement</t>
  </si>
  <si>
    <t xml:space="preserve">Par famille</t>
  </si>
  <si>
    <t xml:space="preserve">lieux</t>
  </si>
  <si>
    <t xml:space="preserve">vérifiés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</si>
</sst>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</row>
    <row r="2" customFormat="false" ht="23.85" hidden="false" customHeight="false" outlineLevel="0" collapsed="false">
      <c r="A2" s="5" t="s">
        <v>33</v>
      </c>
      <c r="B2" s="6" t="s">
        <v>34</v>
      </c>
      <c r="C2" s="7" t="s">
        <v>35</v>
      </c>
      <c r="D2" s="7" t="s">
        <v>36</v>
      </c>
      <c r="E2" s="7"/>
      <c r="F2" s="7" t="s">
        <v>37</v>
      </c>
      <c r="G2" s="6" t="s">
        <v>38</v>
      </c>
    </row>
    <row r="3" customFormat="false" ht="23.85" hidden="false" customHeight="false" outlineLevel="0" collapsed="false">
      <c r="A3" s="5" t="s">
        <v>39</v>
      </c>
      <c r="B3" s="6" t="s">
        <v>40</v>
      </c>
      <c r="C3" s="7" t="s">
        <v>41</v>
      </c>
      <c r="D3" s="7" t="s">
        <v>42</v>
      </c>
      <c r="E3" s="7" t="n">
        <v>26</v>
      </c>
      <c r="F3" s="7" t="s">
        <v>43</v>
      </c>
      <c r="G3" s="6" t="s">
        <v>44</v>
      </c>
    </row>
    <row r="4" customFormat="false" ht="23.85" hidden="false" customHeight="false" outlineLevel="0" collapsed="false">
      <c r="A4" s="5" t="s">
        <v>45</v>
      </c>
      <c r="B4" s="6" t="s">
        <v>46</v>
      </c>
      <c r="C4" s="7" t="s">
        <v>41</v>
      </c>
      <c r="D4" s="7" t="s">
        <v>47</v>
      </c>
      <c r="E4" s="7" t="n">
        <v>26</v>
      </c>
      <c r="F4" s="7" t="s">
        <v>48</v>
      </c>
      <c r="G4" s="6" t="s">
        <v>49</v>
      </c>
    </row>
    <row r="5" customFormat="false" ht="23.85" hidden="false" customHeight="false" outlineLevel="0" collapsed="false">
      <c r="A5" s="5" t="s">
        <v>50</v>
      </c>
      <c r="B5" s="6" t="s">
        <v>51</v>
      </c>
      <c r="C5" s="7" t="s">
        <v>52</v>
      </c>
      <c r="D5" s="7" t="s">
        <v>52</v>
      </c>
      <c r="E5" s="7"/>
      <c r="F5" s="7" t="s">
        <v>53</v>
      </c>
      <c r="G5" s="6" t="s">
        <v>54</v>
      </c>
    </row>
    <row r="6" customFormat="false" ht="23.85" hidden="false" customHeight="false" outlineLevel="0" collapsed="false">
      <c r="A6" s="5" t="s">
        <v>55</v>
      </c>
      <c r="B6" s="6" t="s">
        <v>56</v>
      </c>
      <c r="C6" s="7" t="s">
        <v>52</v>
      </c>
      <c r="D6" s="7" t="s">
        <v>52</v>
      </c>
      <c r="E6" s="7"/>
      <c r="F6" s="7" t="s">
        <v>57</v>
      </c>
      <c r="G6" s="6" t="s">
        <v>54</v>
      </c>
    </row>
    <row r="7" customFormat="false" ht="15" hidden="false" customHeight="false" outlineLevel="0" collapsed="false">
      <c r="A7" s="5" t="s">
        <v>58</v>
      </c>
      <c r="B7" s="6" t="s">
        <v>59</v>
      </c>
      <c r="C7" s="7" t="s">
        <v>52</v>
      </c>
      <c r="D7" s="7" t="s">
        <v>52</v>
      </c>
      <c r="E7" s="7"/>
      <c r="F7" s="7" t="s">
        <v>60</v>
      </c>
      <c r="G7" s="6" t="s">
        <v>54</v>
      </c>
    </row>
    <row r="9" customFormat="false" ht="15" hidden="false" customHeight="false" outlineLevel="0" collapsed="false">
      <c r="A9" s="3" t="s">
        <v>61</v>
      </c>
    </row>
    <row r="10" customFormat="false" ht="15" hidden="false" customHeight="false" outlineLevel="0" collapsed="false">
      <c r="A10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9" min="8" style="0" width="34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8"/>
    <col collapsed="false" customWidth="true" hidden="false" outlineLevel="0" max="15" min="15" style="0" width="26"/>
    <col collapsed="false" customWidth="true" hidden="false" outlineLevel="0" max="16" min="16" style="0" width="50"/>
    <col collapsed="false" customWidth="true" hidden="false" outlineLevel="0" max="18" min="17" style="0" width="40"/>
  </cols>
  <sheetData>
    <row r="1" customFormat="false" ht="23.85" hidden="false" customHeight="false" outlineLevel="0" collapsed="false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</row>
    <row r="2" customFormat="false" ht="113.4" hidden="false" customHeight="false" outlineLevel="0" collapsed="false">
      <c r="A2" s="8" t="s">
        <v>81</v>
      </c>
      <c r="B2" s="6" t="s">
        <v>82</v>
      </c>
      <c r="C2" s="9" t="s">
        <v>33</v>
      </c>
      <c r="D2" s="9" t="s">
        <v>83</v>
      </c>
      <c r="E2" s="10" t="str">
        <f aca="false">IFERROR(IF(INDEX(Familles!$C$2:$C$7,MATCH($C2,Familles!$A$2:$A$7,0))="","",INDEX(Familles!$C$2:$C$7,MATCH($C2,Familles!$A$2:$A$7,0))),"")</f>
        <v>Gratuit pour tous</v>
      </c>
      <c r="F2" s="10" t="str">
        <f aca="false">IFERROR(IF(INDEX(Familles!$D$2:$D$7,MATCH($C2,Familles!$A$2:$A$7,0))="","",INDEX(Familles!$D$2:$D$7,MATCH($C2,Familles!$A$2:$A$7,0))),"")</f>
        <v>Payant pour tous (gratuit -18 ans)</v>
      </c>
      <c r="G2" s="11" t="str">
        <f aca="false">IFERROR(IF(INDEX(Familles!$E$2:$E$7,MATCH($C2,Familles!$A$2:$A$7,0))="","",INDEX(Familles!$E$2:$E$7,MATCH($C2,Familles!$A$2:$A$7,0))),"")</f>
        <v/>
      </c>
      <c r="H2" s="9" t="s">
        <v>84</v>
      </c>
      <c r="I2" s="12"/>
      <c r="J2" s="12"/>
      <c r="K2" s="9" t="s">
        <v>85</v>
      </c>
      <c r="L2" s="12"/>
      <c r="M2" s="6" t="s">
        <v>86</v>
      </c>
      <c r="N2" s="13" t="s">
        <v>87</v>
      </c>
      <c r="O2" s="13" t="s">
        <v>88</v>
      </c>
      <c r="P2" s="14" t="s">
        <v>89</v>
      </c>
      <c r="Q2" s="15"/>
      <c r="R2" s="15"/>
    </row>
    <row r="3" customFormat="false" ht="113.4" hidden="false" customHeight="false" outlineLevel="0" collapsed="false">
      <c r="A3" s="8" t="s">
        <v>90</v>
      </c>
      <c r="B3" s="6" t="s">
        <v>91</v>
      </c>
      <c r="C3" s="9" t="s">
        <v>33</v>
      </c>
      <c r="D3" s="9" t="s">
        <v>83</v>
      </c>
      <c r="E3" s="10" t="str">
        <f aca="false">IFERROR(IF(INDEX(Familles!$C$2:$C$7,MATCH($C3,Familles!$A$2:$A$7,0))="","",INDEX(Familles!$C$2:$C$7,MATCH($C3,Familles!$A$2:$A$7,0))),"")</f>
        <v>Gratuit pour tous</v>
      </c>
      <c r="F3" s="10" t="str">
        <f aca="false">IFERROR(IF(INDEX(Familles!$D$2:$D$7,MATCH($C3,Familles!$A$2:$A$7,0))="","",INDEX(Familles!$D$2:$D$7,MATCH($C3,Familles!$A$2:$A$7,0))),"")</f>
        <v>Payant pour tous (gratuit -18 ans)</v>
      </c>
      <c r="G3" s="11" t="str">
        <f aca="false">IFERROR(IF(INDEX(Familles!$E$2:$E$7,MATCH($C3,Familles!$A$2:$A$7,0))="","",INDEX(Familles!$E$2:$E$7,MATCH($C3,Familles!$A$2:$A$7,0))),"")</f>
        <v/>
      </c>
      <c r="H3" s="9" t="s">
        <v>92</v>
      </c>
      <c r="I3" s="12"/>
      <c r="J3" s="12"/>
      <c r="K3" s="9" t="s">
        <v>85</v>
      </c>
      <c r="L3" s="12"/>
      <c r="M3" s="6" t="s">
        <v>86</v>
      </c>
      <c r="N3" s="13" t="s">
        <v>87</v>
      </c>
      <c r="O3" s="13" t="s">
        <v>88</v>
      </c>
      <c r="P3" s="14" t="s">
        <v>89</v>
      </c>
      <c r="Q3" s="15"/>
      <c r="R3" s="15"/>
    </row>
    <row r="4" customFormat="false" ht="113.4" hidden="false" customHeight="false" outlineLevel="0" collapsed="false">
      <c r="A4" s="8" t="s">
        <v>93</v>
      </c>
      <c r="B4" s="6" t="s">
        <v>94</v>
      </c>
      <c r="C4" s="9" t="s">
        <v>33</v>
      </c>
      <c r="D4" s="9" t="s">
        <v>83</v>
      </c>
      <c r="E4" s="10" t="str">
        <f aca="false">IFERROR(IF(INDEX(Familles!$C$2:$C$7,MATCH($C4,Familles!$A$2:$A$7,0))="","",INDEX(Familles!$C$2:$C$7,MATCH($C4,Familles!$A$2:$A$7,0))),"")</f>
        <v>Gratuit pour tous</v>
      </c>
      <c r="F4" s="10" t="str">
        <f aca="false">IFERROR(IF(INDEX(Familles!$D$2:$D$7,MATCH($C4,Familles!$A$2:$A$7,0))="","",INDEX(Familles!$D$2:$D$7,MATCH($C4,Familles!$A$2:$A$7,0))),"")</f>
        <v>Payant pour tous (gratuit -18 ans)</v>
      </c>
      <c r="G4" s="11" t="str">
        <f aca="false">IFERROR(IF(INDEX(Familles!$E$2:$E$7,MATCH($C4,Familles!$A$2:$A$7,0))="","",INDEX(Familles!$E$2:$E$7,MATCH($C4,Familles!$A$2:$A$7,0))),"")</f>
        <v/>
      </c>
      <c r="H4" s="9" t="s">
        <v>95</v>
      </c>
      <c r="I4" s="12"/>
      <c r="J4" s="12"/>
      <c r="K4" s="9" t="s">
        <v>85</v>
      </c>
      <c r="L4" s="12"/>
      <c r="M4" s="6" t="s">
        <v>86</v>
      </c>
      <c r="N4" s="13" t="s">
        <v>87</v>
      </c>
      <c r="O4" s="13" t="s">
        <v>88</v>
      </c>
      <c r="P4" s="14" t="s">
        <v>89</v>
      </c>
      <c r="Q4" s="15"/>
      <c r="R4" s="15"/>
    </row>
    <row r="5" customFormat="false" ht="23.85" hidden="false" customHeight="false" outlineLevel="0" collapsed="false">
      <c r="A5" s="8" t="s">
        <v>96</v>
      </c>
      <c r="B5" s="6" t="s">
        <v>97</v>
      </c>
      <c r="C5" s="9" t="s">
        <v>33</v>
      </c>
      <c r="D5" s="9" t="s">
        <v>83</v>
      </c>
      <c r="E5" s="10" t="str">
        <f aca="false">IFERROR(IF(INDEX(Familles!$C$2:$C$7,MATCH($C5,Familles!$A$2:$A$7,0))="","",INDEX(Familles!$C$2:$C$7,MATCH($C5,Familles!$A$2:$A$7,0))),"")</f>
        <v>Gratuit pour tous</v>
      </c>
      <c r="F5" s="10" t="str">
        <f aca="false">IFERROR(IF(INDEX(Familles!$D$2:$D$7,MATCH($C5,Familles!$A$2:$A$7,0))="","",INDEX(Familles!$D$2:$D$7,MATCH($C5,Familles!$A$2:$A$7,0))),"")</f>
        <v>Payant pour tous (gratuit -18 ans)</v>
      </c>
      <c r="G5" s="11" t="str">
        <f aca="false">IFERROR(IF(INDEX(Familles!$E$2:$E$7,MATCH($C5,Familles!$A$2:$A$7,0))="","",INDEX(Familles!$E$2:$E$7,MATCH($C5,Familles!$A$2:$A$7,0))),"")</f>
        <v/>
      </c>
      <c r="H5" s="12"/>
      <c r="I5" s="12"/>
      <c r="J5" s="12"/>
      <c r="K5" s="9" t="s">
        <v>85</v>
      </c>
      <c r="L5" s="12"/>
      <c r="M5" s="6"/>
      <c r="N5" s="15"/>
      <c r="O5" s="15"/>
      <c r="P5" s="16"/>
      <c r="Q5" s="15"/>
      <c r="R5" s="15"/>
    </row>
    <row r="6" customFormat="false" ht="23.85" hidden="false" customHeight="false" outlineLevel="0" collapsed="false">
      <c r="A6" s="8" t="s">
        <v>98</v>
      </c>
      <c r="B6" s="6" t="s">
        <v>99</v>
      </c>
      <c r="C6" s="9" t="s">
        <v>33</v>
      </c>
      <c r="D6" s="9" t="s">
        <v>83</v>
      </c>
      <c r="E6" s="10" t="str">
        <f aca="false">IFERROR(IF(INDEX(Familles!$C$2:$C$7,MATCH($C6,Familles!$A$2:$A$7,0))="","",INDEX(Familles!$C$2:$C$7,MATCH($C6,Familles!$A$2:$A$7,0))),"")</f>
        <v>Gratuit pour tous</v>
      </c>
      <c r="F6" s="10" t="str">
        <f aca="false">IFERROR(IF(INDEX(Familles!$D$2:$D$7,MATCH($C6,Familles!$A$2:$A$7,0))="","",INDEX(Familles!$D$2:$D$7,MATCH($C6,Familles!$A$2:$A$7,0))),"")</f>
        <v>Payant pour tous (gratuit -18 ans)</v>
      </c>
      <c r="G6" s="11" t="str">
        <f aca="false">IFERROR(IF(INDEX(Familles!$E$2:$E$7,MATCH($C6,Familles!$A$2:$A$7,0))="","",INDEX(Familles!$E$2:$E$7,MATCH($C6,Familles!$A$2:$A$7,0))),"")</f>
        <v/>
      </c>
      <c r="H6" s="12"/>
      <c r="I6" s="12"/>
      <c r="J6" s="12"/>
      <c r="K6" s="9" t="s">
        <v>85</v>
      </c>
      <c r="L6" s="12"/>
      <c r="M6" s="6"/>
      <c r="N6" s="15"/>
      <c r="O6" s="15"/>
      <c r="P6" s="16"/>
      <c r="Q6" s="15"/>
      <c r="R6" s="15"/>
    </row>
    <row r="7" customFormat="false" ht="113.4" hidden="false" customHeight="false" outlineLevel="0" collapsed="false">
      <c r="A7" s="8" t="s">
        <v>100</v>
      </c>
      <c r="B7" s="6" t="s">
        <v>101</v>
      </c>
      <c r="C7" s="9" t="s">
        <v>33</v>
      </c>
      <c r="D7" s="9" t="s">
        <v>83</v>
      </c>
      <c r="E7" s="10" t="str">
        <f aca="false">IFERROR(IF(INDEX(Familles!$C$2:$C$7,MATCH($C7,Familles!$A$2:$A$7,0))="","",INDEX(Familles!$C$2:$C$7,MATCH($C7,Familles!$A$2:$A$7,0))),"")</f>
        <v>Gratuit pour tous</v>
      </c>
      <c r="F7" s="10" t="str">
        <f aca="false">IFERROR(IF(INDEX(Familles!$D$2:$D$7,MATCH($C7,Familles!$A$2:$A$7,0))="","",INDEX(Familles!$D$2:$D$7,MATCH($C7,Familles!$A$2:$A$7,0))),"")</f>
        <v>Payant pour tous (gratuit -18 ans)</v>
      </c>
      <c r="G7" s="11" t="str">
        <f aca="false">IFERROR(IF(INDEX(Familles!$E$2:$E$7,MATCH($C7,Familles!$A$2:$A$7,0))="","",INDEX(Familles!$E$2:$E$7,MATCH($C7,Familles!$A$2:$A$7,0))),"")</f>
        <v/>
      </c>
      <c r="H7" s="9" t="s">
        <v>102</v>
      </c>
      <c r="I7" s="12"/>
      <c r="J7" s="12"/>
      <c r="K7" s="9" t="s">
        <v>85</v>
      </c>
      <c r="L7" s="12"/>
      <c r="M7" s="6"/>
      <c r="N7" s="13" t="s">
        <v>87</v>
      </c>
      <c r="O7" s="13" t="s">
        <v>88</v>
      </c>
      <c r="P7" s="14" t="s">
        <v>89</v>
      </c>
      <c r="Q7" s="15"/>
      <c r="R7" s="15"/>
    </row>
    <row r="8" customFormat="false" ht="23.85" hidden="false" customHeight="false" outlineLevel="0" collapsed="false">
      <c r="A8" s="8" t="s">
        <v>103</v>
      </c>
      <c r="B8" s="6" t="s">
        <v>104</v>
      </c>
      <c r="C8" s="9" t="s">
        <v>33</v>
      </c>
      <c r="D8" s="9" t="s">
        <v>83</v>
      </c>
      <c r="E8" s="10" t="str">
        <f aca="false">IFERROR(IF(INDEX(Familles!$C$2:$C$7,MATCH($C8,Familles!$A$2:$A$7,0))="","",INDEX(Familles!$C$2:$C$7,MATCH($C8,Familles!$A$2:$A$7,0))),"")</f>
        <v>Gratuit pour tous</v>
      </c>
      <c r="F8" s="10" t="str">
        <f aca="false">IFERROR(IF(INDEX(Familles!$D$2:$D$7,MATCH($C8,Familles!$A$2:$A$7,0))="","",INDEX(Familles!$D$2:$D$7,MATCH($C8,Familles!$A$2:$A$7,0))),"")</f>
        <v>Payant pour tous (gratuit -18 ans)</v>
      </c>
      <c r="G8" s="11" t="str">
        <f aca="false">IFERROR(IF(INDEX(Familles!$E$2:$E$7,MATCH($C8,Familles!$A$2:$A$7,0))="","",INDEX(Familles!$E$2:$E$7,MATCH($C8,Familles!$A$2:$A$7,0))),"")</f>
        <v/>
      </c>
      <c r="H8" s="12"/>
      <c r="I8" s="12"/>
      <c r="J8" s="12"/>
      <c r="K8" s="9" t="s">
        <v>85</v>
      </c>
      <c r="L8" s="12"/>
      <c r="M8" s="6"/>
      <c r="N8" s="15"/>
      <c r="O8" s="15"/>
      <c r="P8" s="16"/>
      <c r="Q8" s="15"/>
      <c r="R8" s="15"/>
    </row>
    <row r="9" customFormat="false" ht="113.4" hidden="false" customHeight="false" outlineLevel="0" collapsed="false">
      <c r="A9" s="8" t="s">
        <v>105</v>
      </c>
      <c r="B9" s="6" t="s">
        <v>106</v>
      </c>
      <c r="C9" s="9" t="s">
        <v>33</v>
      </c>
      <c r="D9" s="9" t="s">
        <v>83</v>
      </c>
      <c r="E9" s="10" t="str">
        <f aca="false">IFERROR(IF(INDEX(Familles!$C$2:$C$7,MATCH($C9,Familles!$A$2:$A$7,0))="","",INDEX(Familles!$C$2:$C$7,MATCH($C9,Familles!$A$2:$A$7,0))),"")</f>
        <v>Gratuit pour tous</v>
      </c>
      <c r="F9" s="10" t="str">
        <f aca="false">IFERROR(IF(INDEX(Familles!$D$2:$D$7,MATCH($C9,Familles!$A$2:$A$7,0))="","",INDEX(Familles!$D$2:$D$7,MATCH($C9,Familles!$A$2:$A$7,0))),"")</f>
        <v>Payant pour tous (gratuit -18 ans)</v>
      </c>
      <c r="G9" s="11" t="str">
        <f aca="false">IFERROR(IF(INDEX(Familles!$E$2:$E$7,MATCH($C9,Familles!$A$2:$A$7,0))="","",INDEX(Familles!$E$2:$E$7,MATCH($C9,Familles!$A$2:$A$7,0))),"")</f>
        <v/>
      </c>
      <c r="H9" s="9" t="s">
        <v>107</v>
      </c>
      <c r="I9" s="9" t="s">
        <v>108</v>
      </c>
      <c r="J9" s="12"/>
      <c r="K9" s="9" t="s">
        <v>109</v>
      </c>
      <c r="L9" s="9" t="s">
        <v>110</v>
      </c>
      <c r="M9" s="6"/>
      <c r="N9" s="13" t="s">
        <v>87</v>
      </c>
      <c r="O9" s="13" t="s">
        <v>88</v>
      </c>
      <c r="P9" s="14" t="s">
        <v>111</v>
      </c>
      <c r="Q9" s="13" t="s">
        <v>112</v>
      </c>
      <c r="R9" s="13" t="s">
        <v>108</v>
      </c>
    </row>
    <row r="10" customFormat="false" ht="113.4" hidden="false" customHeight="false" outlineLevel="0" collapsed="false">
      <c r="A10" s="8" t="s">
        <v>113</v>
      </c>
      <c r="B10" s="6" t="s">
        <v>114</v>
      </c>
      <c r="C10" s="9" t="s">
        <v>33</v>
      </c>
      <c r="D10" s="9" t="s">
        <v>83</v>
      </c>
      <c r="E10" s="10" t="str">
        <f aca="false">IFERROR(IF(INDEX(Familles!$C$2:$C$7,MATCH($C10,Familles!$A$2:$A$7,0))="","",INDEX(Familles!$C$2:$C$7,MATCH($C10,Familles!$A$2:$A$7,0))),"")</f>
        <v>Gratuit pour tous</v>
      </c>
      <c r="F10" s="10" t="str">
        <f aca="false">IFERROR(IF(INDEX(Familles!$D$2:$D$7,MATCH($C10,Familles!$A$2:$A$7,0))="","",INDEX(Familles!$D$2:$D$7,MATCH($C10,Familles!$A$2:$A$7,0))),"")</f>
        <v>Payant pour tous (gratuit -18 ans)</v>
      </c>
      <c r="G10" s="11" t="str">
        <f aca="false">IFERROR(IF(INDEX(Familles!$E$2:$E$7,MATCH($C10,Familles!$A$2:$A$7,0))="","",INDEX(Familles!$E$2:$E$7,MATCH($C10,Familles!$A$2:$A$7,0))),"")</f>
        <v/>
      </c>
      <c r="H10" s="9" t="s">
        <v>115</v>
      </c>
      <c r="I10" s="12"/>
      <c r="J10" s="12"/>
      <c r="K10" s="9" t="s">
        <v>85</v>
      </c>
      <c r="L10" s="12"/>
      <c r="M10" s="6"/>
      <c r="N10" s="13" t="s">
        <v>87</v>
      </c>
      <c r="O10" s="13" t="s">
        <v>88</v>
      </c>
      <c r="P10" s="14" t="s">
        <v>89</v>
      </c>
      <c r="Q10" s="15"/>
      <c r="R10" s="15"/>
    </row>
    <row r="11" customFormat="false" ht="113.4" hidden="false" customHeight="false" outlineLevel="0" collapsed="false">
      <c r="A11" s="8" t="s">
        <v>116</v>
      </c>
      <c r="B11" s="6" t="s">
        <v>117</v>
      </c>
      <c r="C11" s="9" t="s">
        <v>33</v>
      </c>
      <c r="D11" s="9" t="s">
        <v>83</v>
      </c>
      <c r="E11" s="10" t="str">
        <f aca="false">IFERROR(IF(INDEX(Familles!$C$2:$C$7,MATCH($C11,Familles!$A$2:$A$7,0))="","",INDEX(Familles!$C$2:$C$7,MATCH($C11,Familles!$A$2:$A$7,0))),"")</f>
        <v>Gratuit pour tous</v>
      </c>
      <c r="F11" s="10" t="str">
        <f aca="false">IFERROR(IF(INDEX(Familles!$D$2:$D$7,MATCH($C11,Familles!$A$2:$A$7,0))="","",INDEX(Familles!$D$2:$D$7,MATCH($C11,Familles!$A$2:$A$7,0))),"")</f>
        <v>Payant pour tous (gratuit -18 ans)</v>
      </c>
      <c r="G11" s="11" t="str">
        <f aca="false">IFERROR(IF(INDEX(Familles!$E$2:$E$7,MATCH($C11,Familles!$A$2:$A$7,0))="","",INDEX(Familles!$E$2:$E$7,MATCH($C11,Familles!$A$2:$A$7,0))),"")</f>
        <v/>
      </c>
      <c r="H11" s="9" t="s">
        <v>118</v>
      </c>
      <c r="I11" s="12"/>
      <c r="J11" s="9" t="s">
        <v>119</v>
      </c>
      <c r="K11" s="9" t="s">
        <v>85</v>
      </c>
      <c r="L11" s="12"/>
      <c r="M11" s="6"/>
      <c r="N11" s="13" t="s">
        <v>87</v>
      </c>
      <c r="O11" s="13" t="s">
        <v>88</v>
      </c>
      <c r="P11" s="14" t="s">
        <v>89</v>
      </c>
      <c r="Q11" s="15"/>
      <c r="R11" s="15"/>
    </row>
    <row r="12" customFormat="false" ht="113.4" hidden="false" customHeight="false" outlineLevel="0" collapsed="false">
      <c r="A12" s="8" t="s">
        <v>120</v>
      </c>
      <c r="B12" s="6" t="s">
        <v>121</v>
      </c>
      <c r="C12" s="9" t="s">
        <v>33</v>
      </c>
      <c r="D12" s="9" t="s">
        <v>83</v>
      </c>
      <c r="E12" s="10" t="str">
        <f aca="false">IFERROR(IF(INDEX(Familles!$C$2:$C$7,MATCH($C12,Familles!$A$2:$A$7,0))="","",INDEX(Familles!$C$2:$C$7,MATCH($C12,Familles!$A$2:$A$7,0))),"")</f>
        <v>Gratuit pour tous</v>
      </c>
      <c r="F12" s="10" t="str">
        <f aca="false">IFERROR(IF(INDEX(Familles!$D$2:$D$7,MATCH($C12,Familles!$A$2:$A$7,0))="","",INDEX(Familles!$D$2:$D$7,MATCH($C12,Familles!$A$2:$A$7,0))),"")</f>
        <v>Payant pour tous (gratuit -18 ans)</v>
      </c>
      <c r="G12" s="11" t="str">
        <f aca="false">IFERROR(IF(INDEX(Familles!$E$2:$E$7,MATCH($C12,Familles!$A$2:$A$7,0))="","",INDEX(Familles!$E$2:$E$7,MATCH($C12,Familles!$A$2:$A$7,0))),"")</f>
        <v/>
      </c>
      <c r="H12" s="9" t="s">
        <v>122</v>
      </c>
      <c r="I12" s="12"/>
      <c r="J12" s="12"/>
      <c r="K12" s="9" t="s">
        <v>85</v>
      </c>
      <c r="L12" s="12"/>
      <c r="M12" s="6"/>
      <c r="N12" s="13" t="s">
        <v>87</v>
      </c>
      <c r="O12" s="13" t="s">
        <v>88</v>
      </c>
      <c r="P12" s="14" t="s">
        <v>89</v>
      </c>
      <c r="Q12" s="15"/>
      <c r="R12" s="15"/>
    </row>
    <row r="13" customFormat="false" ht="113.4" hidden="false" customHeight="false" outlineLevel="0" collapsed="false">
      <c r="A13" s="8" t="s">
        <v>123</v>
      </c>
      <c r="B13" s="6" t="s">
        <v>124</v>
      </c>
      <c r="C13" s="9" t="s">
        <v>33</v>
      </c>
      <c r="D13" s="9" t="s">
        <v>125</v>
      </c>
      <c r="E13" s="10" t="str">
        <f aca="false">IFERROR(IF(INDEX(Familles!$C$2:$C$7,MATCH($C13,Familles!$A$2:$A$7,0))="","",INDEX(Familles!$C$2:$C$7,MATCH($C13,Familles!$A$2:$A$7,0))),"")</f>
        <v>Gratuit pour tous</v>
      </c>
      <c r="F13" s="10" t="str">
        <f aca="false">IFERROR(IF(INDEX(Familles!$D$2:$D$7,MATCH($C13,Familles!$A$2:$A$7,0))="","",INDEX(Familles!$D$2:$D$7,MATCH($C13,Familles!$A$2:$A$7,0))),"")</f>
        <v>Payant pour tous (gratuit -18 ans)</v>
      </c>
      <c r="G13" s="11" t="str">
        <f aca="false">IFERROR(IF(INDEX(Familles!$E$2:$E$7,MATCH($C13,Familles!$A$2:$A$7,0))="","",INDEX(Familles!$E$2:$E$7,MATCH($C13,Familles!$A$2:$A$7,0))),"")</f>
        <v/>
      </c>
      <c r="H13" s="9" t="s">
        <v>126</v>
      </c>
      <c r="I13" s="12"/>
      <c r="J13" s="9" t="s">
        <v>127</v>
      </c>
      <c r="K13" s="9" t="s">
        <v>85</v>
      </c>
      <c r="L13" s="12"/>
      <c r="M13" s="6" t="s">
        <v>128</v>
      </c>
      <c r="N13" s="13" t="s">
        <v>87</v>
      </c>
      <c r="O13" s="13" t="s">
        <v>88</v>
      </c>
      <c r="P13" s="14" t="s">
        <v>89</v>
      </c>
      <c r="Q13" s="15"/>
      <c r="R13" s="15"/>
    </row>
    <row r="14" customFormat="false" ht="23.85" hidden="false" customHeight="false" outlineLevel="0" collapsed="false">
      <c r="A14" s="8" t="s">
        <v>129</v>
      </c>
      <c r="B14" s="6" t="s">
        <v>130</v>
      </c>
      <c r="C14" s="9" t="s">
        <v>39</v>
      </c>
      <c r="D14" s="9" t="s">
        <v>83</v>
      </c>
      <c r="E14" s="10" t="str">
        <f aca="false">IFERROR(IF(INDEX(Familles!$C$2:$C$7,MATCH($C14,Familles!$A$2:$A$7,0))="","",INDEX(Familles!$C$2:$C$7,MATCH($C14,Familles!$A$2:$A$7,0))),"")</f>
        <v>Gratuit</v>
      </c>
      <c r="F14" s="10" t="str">
        <f aca="false">IFERROR(IF(INDEX(Familles!$D$2:$D$7,MATCH($C14,Familles!$A$2:$A$7,0))="","",INDEX(Familles!$D$2:$D$7,MATCH($C14,Familles!$A$2:$A$7,0))),"")</f>
        <v>Variable selon l'établissement</v>
      </c>
      <c r="G14" s="11" t="n">
        <f aca="false">IFERROR(IF(INDEX(Familles!$E$2:$E$7,MATCH($C14,Familles!$A$2:$A$7,0))="","",INDEX(Familles!$E$2:$E$7,MATCH($C14,Familles!$A$2:$A$7,0))),"")</f>
        <v>26</v>
      </c>
      <c r="H14" s="12"/>
      <c r="I14" s="12"/>
      <c r="J14" s="12"/>
      <c r="K14" s="9" t="s">
        <v>85</v>
      </c>
      <c r="L14" s="12"/>
      <c r="M14" s="6" t="s">
        <v>131</v>
      </c>
      <c r="N14" s="15"/>
      <c r="O14" s="15"/>
      <c r="P14" s="16"/>
      <c r="Q14" s="15"/>
      <c r="R14" s="15"/>
    </row>
    <row r="15" customFormat="false" ht="15" hidden="false" customHeight="false" outlineLevel="0" collapsed="false">
      <c r="A15" s="8" t="s">
        <v>132</v>
      </c>
      <c r="B15" s="6" t="s">
        <v>133</v>
      </c>
      <c r="C15" s="9" t="s">
        <v>39</v>
      </c>
      <c r="D15" s="9" t="s">
        <v>83</v>
      </c>
      <c r="E15" s="10" t="str">
        <f aca="false">IFERROR(IF(INDEX(Familles!$C$2:$C$7,MATCH($C15,Familles!$A$2:$A$7,0))="","",INDEX(Familles!$C$2:$C$7,MATCH($C15,Familles!$A$2:$A$7,0))),"")</f>
        <v>Gratuit</v>
      </c>
      <c r="F15" s="10" t="str">
        <f aca="false">IFERROR(IF(INDEX(Familles!$D$2:$D$7,MATCH($C15,Familles!$A$2:$A$7,0))="","",INDEX(Familles!$D$2:$D$7,MATCH($C15,Familles!$A$2:$A$7,0))),"")</f>
        <v>Variable selon l'établissement</v>
      </c>
      <c r="G15" s="11" t="n">
        <f aca="false">IFERROR(IF(INDEX(Familles!$E$2:$E$7,MATCH($C15,Familles!$A$2:$A$7,0))="","",INDEX(Familles!$E$2:$E$7,MATCH($C15,Familles!$A$2:$A$7,0))),"")</f>
        <v>26</v>
      </c>
      <c r="H15" s="12"/>
      <c r="I15" s="12"/>
      <c r="J15" s="12"/>
      <c r="K15" s="9" t="s">
        <v>85</v>
      </c>
      <c r="L15" s="12"/>
      <c r="M15" s="6"/>
      <c r="N15" s="15"/>
      <c r="O15" s="15"/>
      <c r="P15" s="16"/>
      <c r="Q15" s="15"/>
      <c r="R15" s="15"/>
    </row>
    <row r="16" customFormat="false" ht="15" hidden="false" customHeight="false" outlineLevel="0" collapsed="false">
      <c r="A16" s="8" t="s">
        <v>134</v>
      </c>
      <c r="B16" s="6" t="s">
        <v>135</v>
      </c>
      <c r="C16" s="9" t="s">
        <v>39</v>
      </c>
      <c r="D16" s="9" t="s">
        <v>83</v>
      </c>
      <c r="E16" s="10" t="str">
        <f aca="false">IFERROR(IF(INDEX(Familles!$C$2:$C$7,MATCH($C16,Familles!$A$2:$A$7,0))="","",INDEX(Familles!$C$2:$C$7,MATCH($C16,Familles!$A$2:$A$7,0))),"")</f>
        <v>Gratuit</v>
      </c>
      <c r="F16" s="10" t="str">
        <f aca="false">IFERROR(IF(INDEX(Familles!$D$2:$D$7,MATCH($C16,Familles!$A$2:$A$7,0))="","",INDEX(Familles!$D$2:$D$7,MATCH($C16,Familles!$A$2:$A$7,0))),"")</f>
        <v>Variable selon l'établissement</v>
      </c>
      <c r="G16" s="11" t="n">
        <f aca="false">IFERROR(IF(INDEX(Familles!$E$2:$E$7,MATCH($C16,Familles!$A$2:$A$7,0))="","",INDEX(Familles!$E$2:$E$7,MATCH($C16,Familles!$A$2:$A$7,0))),"")</f>
        <v>26</v>
      </c>
      <c r="H16" s="12"/>
      <c r="I16" s="12"/>
      <c r="J16" s="12"/>
      <c r="K16" s="9" t="s">
        <v>85</v>
      </c>
      <c r="L16" s="12"/>
      <c r="M16" s="6" t="s">
        <v>136</v>
      </c>
      <c r="N16" s="15"/>
      <c r="O16" s="15"/>
      <c r="P16" s="16"/>
      <c r="Q16" s="15"/>
      <c r="R16" s="15"/>
    </row>
    <row r="17" customFormat="false" ht="15" hidden="false" customHeight="false" outlineLevel="0" collapsed="false">
      <c r="A17" s="8" t="s">
        <v>137</v>
      </c>
      <c r="B17" s="6" t="s">
        <v>138</v>
      </c>
      <c r="C17" s="9" t="s">
        <v>39</v>
      </c>
      <c r="D17" s="9" t="s">
        <v>83</v>
      </c>
      <c r="E17" s="10" t="str">
        <f aca="false">IFERROR(IF(INDEX(Familles!$C$2:$C$7,MATCH($C17,Familles!$A$2:$A$7,0))="","",INDEX(Familles!$C$2:$C$7,MATCH($C17,Familles!$A$2:$A$7,0))),"")</f>
        <v>Gratuit</v>
      </c>
      <c r="F17" s="10" t="str">
        <f aca="false">IFERROR(IF(INDEX(Familles!$D$2:$D$7,MATCH($C17,Familles!$A$2:$A$7,0))="","",INDEX(Familles!$D$2:$D$7,MATCH($C17,Familles!$A$2:$A$7,0))),"")</f>
        <v>Variable selon l'établissement</v>
      </c>
      <c r="G17" s="11" t="n">
        <f aca="false">IFERROR(IF(INDEX(Familles!$E$2:$E$7,MATCH($C17,Familles!$A$2:$A$7,0))="","",INDEX(Familles!$E$2:$E$7,MATCH($C17,Familles!$A$2:$A$7,0))),"")</f>
        <v>26</v>
      </c>
      <c r="H17" s="12"/>
      <c r="I17" s="12"/>
      <c r="J17" s="12"/>
      <c r="K17" s="9" t="s">
        <v>85</v>
      </c>
      <c r="L17" s="12"/>
      <c r="M17" s="6"/>
      <c r="N17" s="15"/>
      <c r="O17" s="15"/>
      <c r="P17" s="16"/>
      <c r="Q17" s="15"/>
      <c r="R17" s="15"/>
    </row>
    <row r="18" customFormat="false" ht="15" hidden="false" customHeight="false" outlineLevel="0" collapsed="false">
      <c r="A18" s="8" t="s">
        <v>139</v>
      </c>
      <c r="B18" s="6" t="s">
        <v>140</v>
      </c>
      <c r="C18" s="9" t="s">
        <v>39</v>
      </c>
      <c r="D18" s="9" t="s">
        <v>83</v>
      </c>
      <c r="E18" s="10" t="str">
        <f aca="false">IFERROR(IF(INDEX(Familles!$C$2:$C$7,MATCH($C18,Familles!$A$2:$A$7,0))="","",INDEX(Familles!$C$2:$C$7,MATCH($C18,Familles!$A$2:$A$7,0))),"")</f>
        <v>Gratuit</v>
      </c>
      <c r="F18" s="10" t="str">
        <f aca="false">IFERROR(IF(INDEX(Familles!$D$2:$D$7,MATCH($C18,Familles!$A$2:$A$7,0))="","",INDEX(Familles!$D$2:$D$7,MATCH($C18,Familles!$A$2:$A$7,0))),"")</f>
        <v>Variable selon l'établissement</v>
      </c>
      <c r="G18" s="11" t="n">
        <f aca="false">IFERROR(IF(INDEX(Familles!$E$2:$E$7,MATCH($C18,Familles!$A$2:$A$7,0))="","",INDEX(Familles!$E$2:$E$7,MATCH($C18,Familles!$A$2:$A$7,0))),"")</f>
        <v>26</v>
      </c>
      <c r="H18" s="12"/>
      <c r="I18" s="12"/>
      <c r="J18" s="12"/>
      <c r="K18" s="9" t="s">
        <v>85</v>
      </c>
      <c r="L18" s="12"/>
      <c r="M18" s="6"/>
      <c r="N18" s="15"/>
      <c r="O18" s="15"/>
      <c r="P18" s="16"/>
      <c r="Q18" s="15"/>
      <c r="R18" s="15"/>
    </row>
    <row r="19" customFormat="false" ht="15" hidden="false" customHeight="false" outlineLevel="0" collapsed="false">
      <c r="A19" s="8" t="s">
        <v>141</v>
      </c>
      <c r="B19" s="6" t="s">
        <v>142</v>
      </c>
      <c r="C19" s="9" t="s">
        <v>39</v>
      </c>
      <c r="D19" s="9" t="s">
        <v>83</v>
      </c>
      <c r="E19" s="10" t="str">
        <f aca="false">IFERROR(IF(INDEX(Familles!$C$2:$C$7,MATCH($C19,Familles!$A$2:$A$7,0))="","",INDEX(Familles!$C$2:$C$7,MATCH($C19,Familles!$A$2:$A$7,0))),"")</f>
        <v>Gratuit</v>
      </c>
      <c r="F19" s="10" t="str">
        <f aca="false">IFERROR(IF(INDEX(Familles!$D$2:$D$7,MATCH($C19,Familles!$A$2:$A$7,0))="","",INDEX(Familles!$D$2:$D$7,MATCH($C19,Familles!$A$2:$A$7,0))),"")</f>
        <v>Variable selon l'établissement</v>
      </c>
      <c r="G19" s="11" t="n">
        <f aca="false">IFERROR(IF(INDEX(Familles!$E$2:$E$7,MATCH($C19,Familles!$A$2:$A$7,0))="","",INDEX(Familles!$E$2:$E$7,MATCH($C19,Familles!$A$2:$A$7,0))),"")</f>
        <v>26</v>
      </c>
      <c r="H19" s="12"/>
      <c r="I19" s="12"/>
      <c r="J19" s="12"/>
      <c r="K19" s="9" t="s">
        <v>85</v>
      </c>
      <c r="L19" s="12"/>
      <c r="M19" s="6"/>
      <c r="N19" s="15"/>
      <c r="O19" s="15"/>
      <c r="P19" s="16"/>
      <c r="Q19" s="15"/>
      <c r="R19" s="15"/>
    </row>
    <row r="20" customFormat="false" ht="15" hidden="false" customHeight="false" outlineLevel="0" collapsed="false">
      <c r="A20" s="8" t="s">
        <v>143</v>
      </c>
      <c r="B20" s="6" t="s">
        <v>144</v>
      </c>
      <c r="C20" s="9" t="s">
        <v>39</v>
      </c>
      <c r="D20" s="9" t="s">
        <v>83</v>
      </c>
      <c r="E20" s="10" t="str">
        <f aca="false">IFERROR(IF(INDEX(Familles!$C$2:$C$7,MATCH($C20,Familles!$A$2:$A$7,0))="","",INDEX(Familles!$C$2:$C$7,MATCH($C20,Familles!$A$2:$A$7,0))),"")</f>
        <v>Gratuit</v>
      </c>
      <c r="F20" s="10" t="str">
        <f aca="false">IFERROR(IF(INDEX(Familles!$D$2:$D$7,MATCH($C20,Familles!$A$2:$A$7,0))="","",INDEX(Familles!$D$2:$D$7,MATCH($C20,Familles!$A$2:$A$7,0))),"")</f>
        <v>Variable selon l'établissement</v>
      </c>
      <c r="G20" s="11" t="n">
        <f aca="false">IFERROR(IF(INDEX(Familles!$E$2:$E$7,MATCH($C20,Familles!$A$2:$A$7,0))="","",INDEX(Familles!$E$2:$E$7,MATCH($C20,Familles!$A$2:$A$7,0))),"")</f>
        <v>26</v>
      </c>
      <c r="H20" s="12"/>
      <c r="I20" s="12"/>
      <c r="J20" s="12"/>
      <c r="K20" s="9" t="s">
        <v>85</v>
      </c>
      <c r="L20" s="12"/>
      <c r="M20" s="6" t="s">
        <v>145</v>
      </c>
      <c r="N20" s="15"/>
      <c r="O20" s="15"/>
      <c r="P20" s="16"/>
      <c r="Q20" s="15"/>
      <c r="R20" s="15"/>
    </row>
    <row r="21" customFormat="false" ht="15" hidden="false" customHeight="false" outlineLevel="0" collapsed="false">
      <c r="A21" s="8" t="s">
        <v>146</v>
      </c>
      <c r="B21" s="6" t="s">
        <v>147</v>
      </c>
      <c r="C21" s="9" t="s">
        <v>39</v>
      </c>
      <c r="D21" s="9" t="s">
        <v>83</v>
      </c>
      <c r="E21" s="10" t="str">
        <f aca="false">IFERROR(IF(INDEX(Familles!$C$2:$C$7,MATCH($C21,Familles!$A$2:$A$7,0))="","",INDEX(Familles!$C$2:$C$7,MATCH($C21,Familles!$A$2:$A$7,0))),"")</f>
        <v>Gratuit</v>
      </c>
      <c r="F21" s="10" t="str">
        <f aca="false">IFERROR(IF(INDEX(Familles!$D$2:$D$7,MATCH($C21,Familles!$A$2:$A$7,0))="","",INDEX(Familles!$D$2:$D$7,MATCH($C21,Familles!$A$2:$A$7,0))),"")</f>
        <v>Variable selon l'établissement</v>
      </c>
      <c r="G21" s="11" t="n">
        <f aca="false">IFERROR(IF(INDEX(Familles!$E$2:$E$7,MATCH($C21,Familles!$A$2:$A$7,0))="","",INDEX(Familles!$E$2:$E$7,MATCH($C21,Familles!$A$2:$A$7,0))),"")</f>
        <v>26</v>
      </c>
      <c r="H21" s="12"/>
      <c r="I21" s="12"/>
      <c r="J21" s="12"/>
      <c r="K21" s="9" t="s">
        <v>85</v>
      </c>
      <c r="L21" s="12"/>
      <c r="M21" s="6"/>
      <c r="N21" s="15"/>
      <c r="O21" s="15"/>
      <c r="P21" s="16"/>
      <c r="Q21" s="15"/>
      <c r="R21" s="15"/>
    </row>
    <row r="22" customFormat="false" ht="35.05" hidden="false" customHeight="false" outlineLevel="0" collapsed="false">
      <c r="A22" s="8" t="s">
        <v>148</v>
      </c>
      <c r="B22" s="6" t="s">
        <v>149</v>
      </c>
      <c r="C22" s="9" t="s">
        <v>39</v>
      </c>
      <c r="D22" s="9" t="s">
        <v>125</v>
      </c>
      <c r="E22" s="10" t="str">
        <f aca="false">IFERROR(IF(INDEX(Familles!$C$2:$C$7,MATCH($C22,Familles!$A$2:$A$7,0))="","",INDEX(Familles!$C$2:$C$7,MATCH($C22,Familles!$A$2:$A$7,0))),"")</f>
        <v>Gratuit</v>
      </c>
      <c r="F22" s="10" t="str">
        <f aca="false">IFERROR(IF(INDEX(Familles!$D$2:$D$7,MATCH($C22,Familles!$A$2:$A$7,0))="","",INDEX(Familles!$D$2:$D$7,MATCH($C22,Familles!$A$2:$A$7,0))),"")</f>
        <v>Variable selon l'établissement</v>
      </c>
      <c r="G22" s="11" t="n">
        <f aca="false">IFERROR(IF(INDEX(Familles!$E$2:$E$7,MATCH($C22,Familles!$A$2:$A$7,0))="","",INDEX(Familles!$E$2:$E$7,MATCH($C22,Familles!$A$2:$A$7,0))),"")</f>
        <v>26</v>
      </c>
      <c r="H22" s="12"/>
      <c r="I22" s="12"/>
      <c r="J22" s="12"/>
      <c r="K22" s="9" t="s">
        <v>85</v>
      </c>
      <c r="L22" s="12"/>
      <c r="M22" s="6" t="s">
        <v>150</v>
      </c>
      <c r="N22" s="15"/>
      <c r="O22" s="15"/>
      <c r="P22" s="16"/>
      <c r="Q22" s="15"/>
      <c r="R22" s="15"/>
    </row>
    <row r="23" customFormat="false" ht="15" hidden="false" customHeight="false" outlineLevel="0" collapsed="false">
      <c r="A23" s="8" t="s">
        <v>151</v>
      </c>
      <c r="B23" s="6" t="s">
        <v>152</v>
      </c>
      <c r="C23" s="9" t="s">
        <v>39</v>
      </c>
      <c r="D23" s="9" t="s">
        <v>83</v>
      </c>
      <c r="E23" s="10" t="str">
        <f aca="false">IFERROR(IF(INDEX(Familles!$C$2:$C$7,MATCH($C23,Familles!$A$2:$A$7,0))="","",INDEX(Familles!$C$2:$C$7,MATCH($C23,Familles!$A$2:$A$7,0))),"")</f>
        <v>Gratuit</v>
      </c>
      <c r="F23" s="10" t="str">
        <f aca="false">IFERROR(IF(INDEX(Familles!$D$2:$D$7,MATCH($C23,Familles!$A$2:$A$7,0))="","",INDEX(Familles!$D$2:$D$7,MATCH($C23,Familles!$A$2:$A$7,0))),"")</f>
        <v>Variable selon l'établissement</v>
      </c>
      <c r="G23" s="11" t="n">
        <f aca="false">IFERROR(IF(INDEX(Familles!$E$2:$E$7,MATCH($C23,Familles!$A$2:$A$7,0))="","",INDEX(Familles!$E$2:$E$7,MATCH($C23,Familles!$A$2:$A$7,0))),"")</f>
        <v>26</v>
      </c>
      <c r="H23" s="12"/>
      <c r="I23" s="12"/>
      <c r="J23" s="12"/>
      <c r="K23" s="9" t="s">
        <v>85</v>
      </c>
      <c r="L23" s="12"/>
      <c r="M23" s="6"/>
      <c r="N23" s="15"/>
      <c r="O23" s="15"/>
      <c r="P23" s="16"/>
      <c r="Q23" s="15"/>
      <c r="R23" s="15"/>
    </row>
    <row r="24" customFormat="false" ht="15" hidden="false" customHeight="false" outlineLevel="0" collapsed="false">
      <c r="A24" s="8" t="s">
        <v>153</v>
      </c>
      <c r="B24" s="6" t="s">
        <v>154</v>
      </c>
      <c r="C24" s="9" t="s">
        <v>39</v>
      </c>
      <c r="D24" s="9" t="s">
        <v>83</v>
      </c>
      <c r="E24" s="10" t="str">
        <f aca="false">IFERROR(IF(INDEX(Familles!$C$2:$C$7,MATCH($C24,Familles!$A$2:$A$7,0))="","",INDEX(Familles!$C$2:$C$7,MATCH($C24,Familles!$A$2:$A$7,0))),"")</f>
        <v>Gratuit</v>
      </c>
      <c r="F24" s="10" t="str">
        <f aca="false">IFERROR(IF(INDEX(Familles!$D$2:$D$7,MATCH($C24,Familles!$A$2:$A$7,0))="","",INDEX(Familles!$D$2:$D$7,MATCH($C24,Familles!$A$2:$A$7,0))),"")</f>
        <v>Variable selon l'établissement</v>
      </c>
      <c r="G24" s="11" t="n">
        <f aca="false">IFERROR(IF(INDEX(Familles!$E$2:$E$7,MATCH($C24,Familles!$A$2:$A$7,0))="","",INDEX(Familles!$E$2:$E$7,MATCH($C24,Familles!$A$2:$A$7,0))),"")</f>
        <v>26</v>
      </c>
      <c r="H24" s="12"/>
      <c r="I24" s="12"/>
      <c r="J24" s="12"/>
      <c r="K24" s="9" t="s">
        <v>85</v>
      </c>
      <c r="L24" s="12"/>
      <c r="M24" s="6"/>
      <c r="N24" s="15"/>
      <c r="O24" s="15"/>
      <c r="P24" s="16"/>
      <c r="Q24" s="15"/>
      <c r="R24" s="15"/>
    </row>
    <row r="25" customFormat="false" ht="15" hidden="false" customHeight="false" outlineLevel="0" collapsed="false">
      <c r="A25" s="8" t="s">
        <v>155</v>
      </c>
      <c r="B25" s="6" t="s">
        <v>156</v>
      </c>
      <c r="C25" s="9" t="s">
        <v>39</v>
      </c>
      <c r="D25" s="9" t="s">
        <v>83</v>
      </c>
      <c r="E25" s="10" t="str">
        <f aca="false">IFERROR(IF(INDEX(Familles!$C$2:$C$7,MATCH($C25,Familles!$A$2:$A$7,0))="","",INDEX(Familles!$C$2:$C$7,MATCH($C25,Familles!$A$2:$A$7,0))),"")</f>
        <v>Gratuit</v>
      </c>
      <c r="F25" s="10" t="str">
        <f aca="false">IFERROR(IF(INDEX(Familles!$D$2:$D$7,MATCH($C25,Familles!$A$2:$A$7,0))="","",INDEX(Familles!$D$2:$D$7,MATCH($C25,Familles!$A$2:$A$7,0))),"")</f>
        <v>Variable selon l'établissement</v>
      </c>
      <c r="G25" s="11" t="n">
        <f aca="false">IFERROR(IF(INDEX(Familles!$E$2:$E$7,MATCH($C25,Familles!$A$2:$A$7,0))="","",INDEX(Familles!$E$2:$E$7,MATCH($C25,Familles!$A$2:$A$7,0))),"")</f>
        <v>26</v>
      </c>
      <c r="H25" s="12"/>
      <c r="I25" s="12"/>
      <c r="J25" s="12"/>
      <c r="K25" s="9" t="s">
        <v>85</v>
      </c>
      <c r="L25" s="12"/>
      <c r="M25" s="6"/>
      <c r="N25" s="15"/>
      <c r="O25" s="15"/>
      <c r="P25" s="16"/>
      <c r="Q25" s="15"/>
      <c r="R25" s="15"/>
    </row>
    <row r="26" customFormat="false" ht="23.85" hidden="false" customHeight="false" outlineLevel="0" collapsed="false">
      <c r="A26" s="8" t="s">
        <v>157</v>
      </c>
      <c r="B26" s="6" t="s">
        <v>158</v>
      </c>
      <c r="C26" s="9" t="s">
        <v>39</v>
      </c>
      <c r="D26" s="9" t="s">
        <v>83</v>
      </c>
      <c r="E26" s="10" t="str">
        <f aca="false">IFERROR(IF(INDEX(Familles!$C$2:$C$7,MATCH($C26,Familles!$A$2:$A$7,0))="","",INDEX(Familles!$C$2:$C$7,MATCH($C26,Familles!$A$2:$A$7,0))),"")</f>
        <v>Gratuit</v>
      </c>
      <c r="F26" s="10" t="str">
        <f aca="false">IFERROR(IF(INDEX(Familles!$D$2:$D$7,MATCH($C26,Familles!$A$2:$A$7,0))="","",INDEX(Familles!$D$2:$D$7,MATCH($C26,Familles!$A$2:$A$7,0))),"")</f>
        <v>Variable selon l'établissement</v>
      </c>
      <c r="G26" s="11" t="n">
        <f aca="false">IFERROR(IF(INDEX(Familles!$E$2:$E$7,MATCH($C26,Familles!$A$2:$A$7,0))="","",INDEX(Familles!$E$2:$E$7,MATCH($C26,Familles!$A$2:$A$7,0))),"")</f>
        <v>26</v>
      </c>
      <c r="H26" s="12"/>
      <c r="I26" s="12"/>
      <c r="J26" s="12"/>
      <c r="K26" s="9" t="s">
        <v>85</v>
      </c>
      <c r="L26" s="12"/>
      <c r="M26" s="6" t="s">
        <v>159</v>
      </c>
      <c r="N26" s="15"/>
      <c r="O26" s="15"/>
      <c r="P26" s="16"/>
      <c r="Q26" s="15"/>
      <c r="R26" s="15"/>
    </row>
    <row r="27" customFormat="false" ht="23.85" hidden="false" customHeight="false" outlineLevel="0" collapsed="false">
      <c r="A27" s="8" t="s">
        <v>160</v>
      </c>
      <c r="B27" s="6" t="s">
        <v>161</v>
      </c>
      <c r="C27" s="9" t="s">
        <v>39</v>
      </c>
      <c r="D27" s="9" t="s">
        <v>83</v>
      </c>
      <c r="E27" s="10" t="str">
        <f aca="false">IFERROR(IF(INDEX(Familles!$C$2:$C$7,MATCH($C27,Familles!$A$2:$A$7,0))="","",INDEX(Familles!$C$2:$C$7,MATCH($C27,Familles!$A$2:$A$7,0))),"")</f>
        <v>Gratuit</v>
      </c>
      <c r="F27" s="10" t="str">
        <f aca="false">IFERROR(IF(INDEX(Familles!$D$2:$D$7,MATCH($C27,Familles!$A$2:$A$7,0))="","",INDEX(Familles!$D$2:$D$7,MATCH($C27,Familles!$A$2:$A$7,0))),"")</f>
        <v>Variable selon l'établissement</v>
      </c>
      <c r="G27" s="11" t="n">
        <f aca="false">IFERROR(IF(INDEX(Familles!$E$2:$E$7,MATCH($C27,Familles!$A$2:$A$7,0))="","",INDEX(Familles!$E$2:$E$7,MATCH($C27,Familles!$A$2:$A$7,0))),"")</f>
        <v>26</v>
      </c>
      <c r="H27" s="12"/>
      <c r="I27" s="12"/>
      <c r="J27" s="12"/>
      <c r="K27" s="9" t="s">
        <v>85</v>
      </c>
      <c r="L27" s="12"/>
      <c r="M27" s="6" t="s">
        <v>162</v>
      </c>
      <c r="N27" s="15"/>
      <c r="O27" s="15"/>
      <c r="P27" s="16"/>
      <c r="Q27" s="15"/>
      <c r="R27" s="15"/>
    </row>
    <row r="28" customFormat="false" ht="15" hidden="false" customHeight="false" outlineLevel="0" collapsed="false">
      <c r="A28" s="8" t="s">
        <v>163</v>
      </c>
      <c r="B28" s="6" t="s">
        <v>164</v>
      </c>
      <c r="C28" s="9" t="s">
        <v>39</v>
      </c>
      <c r="D28" s="9" t="s">
        <v>83</v>
      </c>
      <c r="E28" s="10" t="str">
        <f aca="false">IFERROR(IF(INDEX(Familles!$C$2:$C$7,MATCH($C28,Familles!$A$2:$A$7,0))="","",INDEX(Familles!$C$2:$C$7,MATCH($C28,Familles!$A$2:$A$7,0))),"")</f>
        <v>Gratuit</v>
      </c>
      <c r="F28" s="10" t="str">
        <f aca="false">IFERROR(IF(INDEX(Familles!$D$2:$D$7,MATCH($C28,Familles!$A$2:$A$7,0))="","",INDEX(Familles!$D$2:$D$7,MATCH($C28,Familles!$A$2:$A$7,0))),"")</f>
        <v>Variable selon l'établissement</v>
      </c>
      <c r="G28" s="11" t="n">
        <f aca="false">IFERROR(IF(INDEX(Familles!$E$2:$E$7,MATCH($C28,Familles!$A$2:$A$7,0))="","",INDEX(Familles!$E$2:$E$7,MATCH($C28,Familles!$A$2:$A$7,0))),"")</f>
        <v>26</v>
      </c>
      <c r="H28" s="12"/>
      <c r="I28" s="12"/>
      <c r="J28" s="12"/>
      <c r="K28" s="9" t="s">
        <v>85</v>
      </c>
      <c r="L28" s="12"/>
      <c r="M28" s="6"/>
      <c r="N28" s="15"/>
      <c r="O28" s="15"/>
      <c r="P28" s="16"/>
      <c r="Q28" s="15"/>
      <c r="R28" s="15"/>
    </row>
    <row r="29" customFormat="false" ht="23.85" hidden="false" customHeight="false" outlineLevel="0" collapsed="false">
      <c r="A29" s="8" t="s">
        <v>165</v>
      </c>
      <c r="B29" s="6" t="s">
        <v>166</v>
      </c>
      <c r="C29" s="9" t="s">
        <v>39</v>
      </c>
      <c r="D29" s="9" t="s">
        <v>125</v>
      </c>
      <c r="E29" s="10" t="str">
        <f aca="false">IFERROR(IF(INDEX(Familles!$C$2:$C$7,MATCH($C29,Familles!$A$2:$A$7,0))="","",INDEX(Familles!$C$2:$C$7,MATCH($C29,Familles!$A$2:$A$7,0))),"")</f>
        <v>Gratuit</v>
      </c>
      <c r="F29" s="10" t="str">
        <f aca="false">IFERROR(IF(INDEX(Familles!$D$2:$D$7,MATCH($C29,Familles!$A$2:$A$7,0))="","",INDEX(Familles!$D$2:$D$7,MATCH($C29,Familles!$A$2:$A$7,0))),"")</f>
        <v>Variable selon l'établissement</v>
      </c>
      <c r="G29" s="11" t="n">
        <f aca="false">IFERROR(IF(INDEX(Familles!$E$2:$E$7,MATCH($C29,Familles!$A$2:$A$7,0))="","",INDEX(Familles!$E$2:$E$7,MATCH($C29,Familles!$A$2:$A$7,0))),"")</f>
        <v>26</v>
      </c>
      <c r="H29" s="12"/>
      <c r="I29" s="12"/>
      <c r="J29" s="12"/>
      <c r="K29" s="9" t="s">
        <v>85</v>
      </c>
      <c r="L29" s="12"/>
      <c r="M29" s="6" t="s">
        <v>167</v>
      </c>
      <c r="N29" s="15"/>
      <c r="O29" s="15"/>
      <c r="P29" s="16"/>
      <c r="Q29" s="15"/>
      <c r="R29" s="15"/>
    </row>
    <row r="30" customFormat="false" ht="15" hidden="false" customHeight="false" outlineLevel="0" collapsed="false">
      <c r="A30" s="8" t="s">
        <v>168</v>
      </c>
      <c r="B30" s="6" t="s">
        <v>169</v>
      </c>
      <c r="C30" s="9" t="s">
        <v>39</v>
      </c>
      <c r="D30" s="9" t="s">
        <v>125</v>
      </c>
      <c r="E30" s="10" t="str">
        <f aca="false">IFERROR(IF(INDEX(Familles!$C$2:$C$7,MATCH($C30,Familles!$A$2:$A$7,0))="","",INDEX(Familles!$C$2:$C$7,MATCH($C30,Familles!$A$2:$A$7,0))),"")</f>
        <v>Gratuit</v>
      </c>
      <c r="F30" s="10" t="str">
        <f aca="false">IFERROR(IF(INDEX(Familles!$D$2:$D$7,MATCH($C30,Familles!$A$2:$A$7,0))="","",INDEX(Familles!$D$2:$D$7,MATCH($C30,Familles!$A$2:$A$7,0))),"")</f>
        <v>Variable selon l'établissement</v>
      </c>
      <c r="G30" s="11" t="n">
        <f aca="false">IFERROR(IF(INDEX(Familles!$E$2:$E$7,MATCH($C30,Familles!$A$2:$A$7,0))="","",INDEX(Familles!$E$2:$E$7,MATCH($C30,Familles!$A$2:$A$7,0))),"")</f>
        <v>26</v>
      </c>
      <c r="H30" s="12"/>
      <c r="I30" s="12"/>
      <c r="J30" s="12"/>
      <c r="K30" s="9" t="s">
        <v>85</v>
      </c>
      <c r="L30" s="12"/>
      <c r="M30" s="6" t="s">
        <v>170</v>
      </c>
      <c r="N30" s="15"/>
      <c r="O30" s="15"/>
      <c r="P30" s="16"/>
      <c r="Q30" s="15"/>
      <c r="R30" s="15"/>
    </row>
    <row r="31" customFormat="false" ht="15" hidden="false" customHeight="false" outlineLevel="0" collapsed="false">
      <c r="A31" s="8" t="s">
        <v>171</v>
      </c>
      <c r="B31" s="6" t="s">
        <v>172</v>
      </c>
      <c r="C31" s="9" t="s">
        <v>39</v>
      </c>
      <c r="D31" s="9" t="s">
        <v>125</v>
      </c>
      <c r="E31" s="10" t="str">
        <f aca="false">IFERROR(IF(INDEX(Familles!$C$2:$C$7,MATCH($C31,Familles!$A$2:$A$7,0))="","",INDEX(Familles!$C$2:$C$7,MATCH($C31,Familles!$A$2:$A$7,0))),"")</f>
        <v>Gratuit</v>
      </c>
      <c r="F31" s="10" t="str">
        <f aca="false">IFERROR(IF(INDEX(Familles!$D$2:$D$7,MATCH($C31,Familles!$A$2:$A$7,0))="","",INDEX(Familles!$D$2:$D$7,MATCH($C31,Familles!$A$2:$A$7,0))),"")</f>
        <v>Variable selon l'établissement</v>
      </c>
      <c r="G31" s="11" t="n">
        <f aca="false">IFERROR(IF(INDEX(Familles!$E$2:$E$7,MATCH($C31,Familles!$A$2:$A$7,0))="","",INDEX(Familles!$E$2:$E$7,MATCH($C31,Familles!$A$2:$A$7,0))),"")</f>
        <v>26</v>
      </c>
      <c r="H31" s="12"/>
      <c r="I31" s="12"/>
      <c r="J31" s="12"/>
      <c r="K31" s="9" t="s">
        <v>85</v>
      </c>
      <c r="L31" s="12"/>
      <c r="M31" s="6" t="s">
        <v>173</v>
      </c>
      <c r="N31" s="15"/>
      <c r="O31" s="15"/>
      <c r="P31" s="16"/>
      <c r="Q31" s="15"/>
      <c r="R31" s="15"/>
    </row>
    <row r="32" customFormat="false" ht="23.85" hidden="false" customHeight="false" outlineLevel="0" collapsed="false">
      <c r="A32" s="8" t="s">
        <v>174</v>
      </c>
      <c r="B32" s="6" t="s">
        <v>175</v>
      </c>
      <c r="C32" s="9" t="s">
        <v>39</v>
      </c>
      <c r="D32" s="9" t="s">
        <v>125</v>
      </c>
      <c r="E32" s="10" t="str">
        <f aca="false">IFERROR(IF(INDEX(Familles!$C$2:$C$7,MATCH($C32,Familles!$A$2:$A$7,0))="","",INDEX(Familles!$C$2:$C$7,MATCH($C32,Familles!$A$2:$A$7,0))),"")</f>
        <v>Gratuit</v>
      </c>
      <c r="F32" s="10" t="str">
        <f aca="false">IFERROR(IF(INDEX(Familles!$D$2:$D$7,MATCH($C32,Familles!$A$2:$A$7,0))="","",INDEX(Familles!$D$2:$D$7,MATCH($C32,Familles!$A$2:$A$7,0))),"")</f>
        <v>Variable selon l'établissement</v>
      </c>
      <c r="G32" s="11" t="n">
        <f aca="false">IFERROR(IF(INDEX(Familles!$E$2:$E$7,MATCH($C32,Familles!$A$2:$A$7,0))="","",INDEX(Familles!$E$2:$E$7,MATCH($C32,Familles!$A$2:$A$7,0))),"")</f>
        <v>26</v>
      </c>
      <c r="H32" s="12"/>
      <c r="I32" s="12"/>
      <c r="J32" s="12"/>
      <c r="K32" s="9" t="s">
        <v>85</v>
      </c>
      <c r="L32" s="12"/>
      <c r="M32" s="6" t="s">
        <v>176</v>
      </c>
      <c r="N32" s="15"/>
      <c r="O32" s="15"/>
      <c r="P32" s="16"/>
      <c r="Q32" s="15"/>
      <c r="R32" s="15"/>
    </row>
    <row r="33" customFormat="false" ht="23.85" hidden="false" customHeight="false" outlineLevel="0" collapsed="false">
      <c r="A33" s="8" t="s">
        <v>177</v>
      </c>
      <c r="B33" s="6" t="s">
        <v>178</v>
      </c>
      <c r="C33" s="9" t="s">
        <v>58</v>
      </c>
      <c r="D33" s="9" t="s">
        <v>125</v>
      </c>
      <c r="E33" s="10" t="str">
        <f aca="false">IFERROR(IF(INDEX(Familles!$C$2:$C$7,MATCH($C33,Familles!$A$2:$A$7,0))="","",INDEX(Familles!$C$2:$C$7,MATCH($C33,Familles!$A$2:$A$7,0))),"")</f>
        <v>À VÉRIFIER</v>
      </c>
      <c r="F33" s="10" t="str">
        <f aca="false">IFERROR(IF(INDEX(Familles!$D$2:$D$7,MATCH($C33,Familles!$A$2:$A$7,0))="","",INDEX(Familles!$D$2:$D$7,MATCH($C33,Familles!$A$2:$A$7,0))),"")</f>
        <v>À VÉRIFIER</v>
      </c>
      <c r="G33" s="11" t="str">
        <f aca="false">IFERROR(IF(INDEX(Familles!$E$2:$E$7,MATCH($C33,Familles!$A$2:$A$7,0))="","",INDEX(Familles!$E$2:$E$7,MATCH($C33,Familles!$A$2:$A$7,0))),"")</f>
        <v/>
      </c>
      <c r="H33" s="12"/>
      <c r="I33" s="12"/>
      <c r="J33" s="12"/>
      <c r="K33" s="9" t="s">
        <v>85</v>
      </c>
      <c r="L33" s="12"/>
      <c r="M33" s="6" t="s">
        <v>179</v>
      </c>
      <c r="N33" s="15"/>
      <c r="O33" s="15"/>
      <c r="P33" s="16"/>
      <c r="Q33" s="15"/>
      <c r="R33" s="15"/>
    </row>
    <row r="34" customFormat="false" ht="23.85" hidden="false" customHeight="false" outlineLevel="0" collapsed="false">
      <c r="A34" s="8" t="s">
        <v>180</v>
      </c>
      <c r="B34" s="6" t="s">
        <v>181</v>
      </c>
      <c r="C34" s="9" t="s">
        <v>45</v>
      </c>
      <c r="D34" s="9" t="s">
        <v>83</v>
      </c>
      <c r="E34" s="10" t="str">
        <f aca="false">IFERROR(IF(INDEX(Familles!$C$2:$C$7,MATCH($C34,Familles!$A$2:$A$7,0))="","",INDEX(Familles!$C$2:$C$7,MATCH($C34,Familles!$A$2:$A$7,0))),"")</f>
        <v>Gratuit</v>
      </c>
      <c r="F34" s="10" t="str">
        <f aca="false">IFERROR(IF(INDEX(Familles!$D$2:$D$7,MATCH($C34,Familles!$A$2:$A$7,0))="","",INDEX(Familles!$D$2:$D$7,MATCH($C34,Familles!$A$2:$A$7,0))),"")</f>
        <v>Généralement inclus dans le billet</v>
      </c>
      <c r="G34" s="11" t="n">
        <f aca="false">IFERROR(IF(INDEX(Familles!$E$2:$E$7,MATCH($C34,Familles!$A$2:$A$7,0))="","",INDEX(Familles!$E$2:$E$7,MATCH($C34,Familles!$A$2:$A$7,0))),"")</f>
        <v>26</v>
      </c>
      <c r="H34" s="12"/>
      <c r="I34" s="12"/>
      <c r="J34" s="12"/>
      <c r="K34" s="9" t="s">
        <v>85</v>
      </c>
      <c r="L34" s="12"/>
      <c r="M34" s="6"/>
      <c r="N34" s="15"/>
      <c r="O34" s="15"/>
      <c r="P34" s="16"/>
      <c r="Q34" s="15"/>
      <c r="R34" s="15"/>
    </row>
    <row r="35" customFormat="false" ht="23.85" hidden="false" customHeight="false" outlineLevel="0" collapsed="false">
      <c r="A35" s="8" t="s">
        <v>182</v>
      </c>
      <c r="B35" s="6" t="s">
        <v>183</v>
      </c>
      <c r="C35" s="9" t="s">
        <v>45</v>
      </c>
      <c r="D35" s="9" t="s">
        <v>83</v>
      </c>
      <c r="E35" s="10" t="str">
        <f aca="false">IFERROR(IF(INDEX(Familles!$C$2:$C$7,MATCH($C35,Familles!$A$2:$A$7,0))="","",INDEX(Familles!$C$2:$C$7,MATCH($C35,Familles!$A$2:$A$7,0))),"")</f>
        <v>Gratuit</v>
      </c>
      <c r="F35" s="10" t="str">
        <f aca="false">IFERROR(IF(INDEX(Familles!$D$2:$D$7,MATCH($C35,Familles!$A$2:$A$7,0))="","",INDEX(Familles!$D$2:$D$7,MATCH($C35,Familles!$A$2:$A$7,0))),"")</f>
        <v>Généralement inclus dans le billet</v>
      </c>
      <c r="G35" s="11" t="n">
        <f aca="false">IFERROR(IF(INDEX(Familles!$E$2:$E$7,MATCH($C35,Familles!$A$2:$A$7,0))="","",INDEX(Familles!$E$2:$E$7,MATCH($C35,Familles!$A$2:$A$7,0))),"")</f>
        <v>26</v>
      </c>
      <c r="H35" s="12"/>
      <c r="I35" s="12"/>
      <c r="J35" s="12"/>
      <c r="K35" s="9" t="s">
        <v>85</v>
      </c>
      <c r="L35" s="12"/>
      <c r="M35" s="6"/>
      <c r="N35" s="15"/>
      <c r="O35" s="15"/>
      <c r="P35" s="16"/>
      <c r="Q35" s="15"/>
      <c r="R35" s="15"/>
    </row>
    <row r="36" customFormat="false" ht="23.85" hidden="false" customHeight="false" outlineLevel="0" collapsed="false">
      <c r="A36" s="8" t="s">
        <v>184</v>
      </c>
      <c r="B36" s="6" t="s">
        <v>185</v>
      </c>
      <c r="C36" s="9" t="s">
        <v>45</v>
      </c>
      <c r="D36" s="9" t="s">
        <v>83</v>
      </c>
      <c r="E36" s="10" t="str">
        <f aca="false">IFERROR(IF(INDEX(Familles!$C$2:$C$7,MATCH($C36,Familles!$A$2:$A$7,0))="","",INDEX(Familles!$C$2:$C$7,MATCH($C36,Familles!$A$2:$A$7,0))),"")</f>
        <v>Gratuit</v>
      </c>
      <c r="F36" s="10" t="str">
        <f aca="false">IFERROR(IF(INDEX(Familles!$D$2:$D$7,MATCH($C36,Familles!$A$2:$A$7,0))="","",INDEX(Familles!$D$2:$D$7,MATCH($C36,Familles!$A$2:$A$7,0))),"")</f>
        <v>Généralement inclus dans le billet</v>
      </c>
      <c r="G36" s="11" t="n">
        <f aca="false">IFERROR(IF(INDEX(Familles!$E$2:$E$7,MATCH($C36,Familles!$A$2:$A$7,0))="","",INDEX(Familles!$E$2:$E$7,MATCH($C36,Familles!$A$2:$A$7,0))),"")</f>
        <v>26</v>
      </c>
      <c r="H36" s="12"/>
      <c r="I36" s="12"/>
      <c r="J36" s="12"/>
      <c r="K36" s="9" t="s">
        <v>85</v>
      </c>
      <c r="L36" s="12"/>
      <c r="M36" s="6"/>
      <c r="N36" s="15"/>
      <c r="O36" s="15"/>
      <c r="P36" s="16"/>
      <c r="Q36" s="15"/>
      <c r="R36" s="15"/>
    </row>
    <row r="37" customFormat="false" ht="23.85" hidden="false" customHeight="false" outlineLevel="0" collapsed="false">
      <c r="A37" s="8" t="s">
        <v>186</v>
      </c>
      <c r="B37" s="6" t="s">
        <v>187</v>
      </c>
      <c r="C37" s="9" t="s">
        <v>45</v>
      </c>
      <c r="D37" s="9" t="s">
        <v>83</v>
      </c>
      <c r="E37" s="10" t="str">
        <f aca="false">IFERROR(IF(INDEX(Familles!$C$2:$C$7,MATCH($C37,Familles!$A$2:$A$7,0))="","",INDEX(Familles!$C$2:$C$7,MATCH($C37,Familles!$A$2:$A$7,0))),"")</f>
        <v>Gratuit</v>
      </c>
      <c r="F37" s="10" t="str">
        <f aca="false">IFERROR(IF(INDEX(Familles!$D$2:$D$7,MATCH($C37,Familles!$A$2:$A$7,0))="","",INDEX(Familles!$D$2:$D$7,MATCH($C37,Familles!$A$2:$A$7,0))),"")</f>
        <v>Généralement inclus dans le billet</v>
      </c>
      <c r="G37" s="11" t="n">
        <f aca="false">IFERROR(IF(INDEX(Familles!$E$2:$E$7,MATCH($C37,Familles!$A$2:$A$7,0))="","",INDEX(Familles!$E$2:$E$7,MATCH($C37,Familles!$A$2:$A$7,0))),"")</f>
        <v>26</v>
      </c>
      <c r="H37" s="12"/>
      <c r="I37" s="12"/>
      <c r="J37" s="12"/>
      <c r="K37" s="9" t="s">
        <v>85</v>
      </c>
      <c r="L37" s="12"/>
      <c r="M37" s="6"/>
      <c r="N37" s="15"/>
      <c r="O37" s="15"/>
      <c r="P37" s="16"/>
      <c r="Q37" s="15"/>
      <c r="R37" s="15"/>
    </row>
    <row r="38" customFormat="false" ht="15" hidden="false" customHeight="false" outlineLevel="0" collapsed="false">
      <c r="A38" s="8" t="s">
        <v>188</v>
      </c>
      <c r="B38" s="6" t="s">
        <v>189</v>
      </c>
      <c r="C38" s="9" t="s">
        <v>50</v>
      </c>
      <c r="D38" s="9" t="s">
        <v>83</v>
      </c>
      <c r="E38" s="10" t="str">
        <f aca="false">IFERROR(IF(INDEX(Familles!$C$2:$C$7,MATCH($C38,Familles!$A$2:$A$7,0))="","",INDEX(Familles!$C$2:$C$7,MATCH($C38,Familles!$A$2:$A$7,0))),"")</f>
        <v>À VÉRIFIER</v>
      </c>
      <c r="F38" s="10" t="str">
        <f aca="false">IFERROR(IF(INDEX(Familles!$D$2:$D$7,MATCH($C38,Familles!$A$2:$A$7,0))="","",INDEX(Familles!$D$2:$D$7,MATCH($C38,Familles!$A$2:$A$7,0))),"")</f>
        <v>À VÉRIFIER</v>
      </c>
      <c r="G38" s="11" t="str">
        <f aca="false">IFERROR(IF(INDEX(Familles!$E$2:$E$7,MATCH($C38,Familles!$A$2:$A$7,0))="","",INDEX(Familles!$E$2:$E$7,MATCH($C38,Familles!$A$2:$A$7,0))),"")</f>
        <v/>
      </c>
      <c r="H38" s="12"/>
      <c r="I38" s="12"/>
      <c r="J38" s="12"/>
      <c r="K38" s="9" t="s">
        <v>85</v>
      </c>
      <c r="L38" s="12"/>
      <c r="M38" s="6" t="s">
        <v>190</v>
      </c>
      <c r="N38" s="15"/>
      <c r="O38" s="15"/>
      <c r="P38" s="16"/>
      <c r="Q38" s="15"/>
      <c r="R38" s="15"/>
    </row>
    <row r="39" customFormat="false" ht="23.85" hidden="false" customHeight="false" outlineLevel="0" collapsed="false">
      <c r="A39" s="8" t="s">
        <v>191</v>
      </c>
      <c r="B39" s="6" t="s">
        <v>192</v>
      </c>
      <c r="C39" s="9" t="s">
        <v>50</v>
      </c>
      <c r="D39" s="9" t="s">
        <v>125</v>
      </c>
      <c r="E39" s="10" t="str">
        <f aca="false">IFERROR(IF(INDEX(Familles!$C$2:$C$7,MATCH($C39,Familles!$A$2:$A$7,0))="","",INDEX(Familles!$C$2:$C$7,MATCH($C39,Familles!$A$2:$A$7,0))),"")</f>
        <v>À VÉRIFIER</v>
      </c>
      <c r="F39" s="10" t="str">
        <f aca="false">IFERROR(IF(INDEX(Familles!$D$2:$D$7,MATCH($C39,Familles!$A$2:$A$7,0))="","",INDEX(Familles!$D$2:$D$7,MATCH($C39,Familles!$A$2:$A$7,0))),"")</f>
        <v>À VÉRIFIER</v>
      </c>
      <c r="G39" s="11" t="str">
        <f aca="false">IFERROR(IF(INDEX(Familles!$E$2:$E$7,MATCH($C39,Familles!$A$2:$A$7,0))="","",INDEX(Familles!$E$2:$E$7,MATCH($C39,Familles!$A$2:$A$7,0))),"")</f>
        <v/>
      </c>
      <c r="H39" s="12"/>
      <c r="I39" s="12"/>
      <c r="J39" s="12"/>
      <c r="K39" s="9" t="s">
        <v>85</v>
      </c>
      <c r="L39" s="12"/>
      <c r="M39" s="6" t="s">
        <v>193</v>
      </c>
      <c r="N39" s="15"/>
      <c r="O39" s="15"/>
      <c r="P39" s="16"/>
      <c r="Q39" s="15"/>
      <c r="R39" s="15"/>
    </row>
    <row r="40" customFormat="false" ht="91" hidden="false" customHeight="false" outlineLevel="0" collapsed="false">
      <c r="A40" s="8" t="s">
        <v>194</v>
      </c>
      <c r="B40" s="6" t="s">
        <v>195</v>
      </c>
      <c r="C40" s="9" t="s">
        <v>55</v>
      </c>
      <c r="D40" s="9" t="s">
        <v>83</v>
      </c>
      <c r="E40" s="10" t="str">
        <f aca="false">IFERROR(IF(INDEX(Familles!$C$2:$C$7,MATCH($C40,Familles!$A$2:$A$7,0))="","",INDEX(Familles!$C$2:$C$7,MATCH($C40,Familles!$A$2:$A$7,0))),"")</f>
        <v>À VÉRIFIER</v>
      </c>
      <c r="F40" s="10" t="str">
        <f aca="false">IFERROR(IF(INDEX(Familles!$D$2:$D$7,MATCH($C40,Familles!$A$2:$A$7,0))="","",INDEX(Familles!$D$2:$D$7,MATCH($C40,Familles!$A$2:$A$7,0))),"")</f>
        <v>À VÉRIFIER</v>
      </c>
      <c r="G40" s="11" t="str">
        <f aca="false">IFERROR(IF(INDEX(Familles!$E$2:$E$7,MATCH($C40,Familles!$A$2:$A$7,0))="","",INDEX(Familles!$E$2:$E$7,MATCH($C40,Familles!$A$2:$A$7,0))),"")</f>
        <v/>
      </c>
      <c r="H40" s="9" t="s">
        <v>196</v>
      </c>
      <c r="I40" s="9" t="s">
        <v>197</v>
      </c>
      <c r="J40" s="12"/>
      <c r="K40" s="9" t="s">
        <v>109</v>
      </c>
      <c r="L40" s="9" t="s">
        <v>110</v>
      </c>
      <c r="M40" s="6" t="s">
        <v>198</v>
      </c>
      <c r="N40" s="13" t="s">
        <v>87</v>
      </c>
      <c r="O40" s="13" t="s">
        <v>199</v>
      </c>
      <c r="P40" s="14" t="s">
        <v>200</v>
      </c>
      <c r="Q40" s="13" t="s">
        <v>201</v>
      </c>
      <c r="R40" s="13" t="s">
        <v>202</v>
      </c>
    </row>
    <row r="41" customFormat="false" ht="23.85" hidden="false" customHeight="false" outlineLevel="0" collapsed="false">
      <c r="A41" s="8" t="s">
        <v>203</v>
      </c>
      <c r="B41" s="6" t="s">
        <v>204</v>
      </c>
      <c r="C41" s="9" t="s">
        <v>55</v>
      </c>
      <c r="D41" s="9" t="s">
        <v>83</v>
      </c>
      <c r="E41" s="10" t="str">
        <f aca="false">IFERROR(IF(INDEX(Familles!$C$2:$C$7,MATCH($C41,Familles!$A$2:$A$7,0))="","",INDEX(Familles!$C$2:$C$7,MATCH($C41,Familles!$A$2:$A$7,0))),"")</f>
        <v>À VÉRIFIER</v>
      </c>
      <c r="F41" s="10" t="str">
        <f aca="false">IFERROR(IF(INDEX(Familles!$D$2:$D$7,MATCH($C41,Familles!$A$2:$A$7,0))="","",INDEX(Familles!$D$2:$D$7,MATCH($C41,Familles!$A$2:$A$7,0))),"")</f>
        <v>À VÉRIFIER</v>
      </c>
      <c r="G41" s="11" t="str">
        <f aca="false">IFERROR(IF(INDEX(Familles!$E$2:$E$7,MATCH($C41,Familles!$A$2:$A$7,0))="","",INDEX(Familles!$E$2:$E$7,MATCH($C41,Familles!$A$2:$A$7,0))),"")</f>
        <v/>
      </c>
      <c r="H41" s="9" t="s">
        <v>205</v>
      </c>
      <c r="I41" s="9" t="s">
        <v>197</v>
      </c>
      <c r="J41" s="12"/>
      <c r="K41" s="9" t="s">
        <v>109</v>
      </c>
      <c r="L41" s="9" t="s">
        <v>110</v>
      </c>
      <c r="M41" s="6" t="s">
        <v>206</v>
      </c>
      <c r="N41" s="13" t="s">
        <v>87</v>
      </c>
      <c r="O41" s="13" t="s">
        <v>199</v>
      </c>
      <c r="P41" s="14" t="s">
        <v>207</v>
      </c>
      <c r="Q41" s="13" t="s">
        <v>201</v>
      </c>
      <c r="R41" s="13" t="s">
        <v>208</v>
      </c>
    </row>
    <row r="42" customFormat="false" ht="15" hidden="false" customHeight="false" outlineLevel="0" collapsed="false">
      <c r="A42" s="8" t="s">
        <v>209</v>
      </c>
      <c r="B42" s="6" t="s">
        <v>210</v>
      </c>
      <c r="C42" s="9" t="s">
        <v>58</v>
      </c>
      <c r="D42" s="9" t="s">
        <v>83</v>
      </c>
      <c r="E42" s="10" t="str">
        <f aca="false">IFERROR(IF(INDEX(Familles!$C$2:$C$7,MATCH($C42,Familles!$A$2:$A$7,0))="","",INDEX(Familles!$C$2:$C$7,MATCH($C42,Familles!$A$2:$A$7,0))),"")</f>
        <v>À VÉRIFIER</v>
      </c>
      <c r="F42" s="10" t="str">
        <f aca="false">IFERROR(IF(INDEX(Familles!$D$2:$D$7,MATCH($C42,Familles!$A$2:$A$7,0))="","",INDEX(Familles!$D$2:$D$7,MATCH($C42,Familles!$A$2:$A$7,0))),"")</f>
        <v>À VÉRIFIER</v>
      </c>
      <c r="G42" s="11" t="str">
        <f aca="false">IFERROR(IF(INDEX(Familles!$E$2:$E$7,MATCH($C42,Familles!$A$2:$A$7,0))="","",INDEX(Familles!$E$2:$E$7,MATCH($C42,Familles!$A$2:$A$7,0))),"")</f>
        <v/>
      </c>
      <c r="H42" s="12"/>
      <c r="I42" s="12"/>
      <c r="J42" s="12"/>
      <c r="K42" s="9" t="s">
        <v>85</v>
      </c>
      <c r="L42" s="12"/>
      <c r="M42" s="6" t="s">
        <v>211</v>
      </c>
      <c r="N42" s="15"/>
      <c r="O42" s="15"/>
      <c r="P42" s="16"/>
      <c r="Q42" s="15"/>
      <c r="R42" s="15"/>
    </row>
    <row r="43" customFormat="false" ht="79.85" hidden="false" customHeight="false" outlineLevel="0" collapsed="false">
      <c r="A43" s="8" t="s">
        <v>212</v>
      </c>
      <c r="B43" s="6" t="s">
        <v>213</v>
      </c>
      <c r="C43" s="9" t="s">
        <v>55</v>
      </c>
      <c r="D43" s="9" t="s">
        <v>83</v>
      </c>
      <c r="E43" s="10" t="str">
        <f aca="false">IFERROR(IF(INDEX(Familles!$C$2:$C$7,MATCH($C43,Familles!$A$2:$A$7,0))="","",INDEX(Familles!$C$2:$C$7,MATCH($C43,Familles!$A$2:$A$7,0))),"")</f>
        <v>À VÉRIFIER</v>
      </c>
      <c r="F43" s="10" t="str">
        <f aca="false">IFERROR(IF(INDEX(Familles!$D$2:$D$7,MATCH($C43,Familles!$A$2:$A$7,0))="","",INDEX(Familles!$D$2:$D$7,MATCH($C43,Familles!$A$2:$A$7,0))),"")</f>
        <v>À VÉRIFIER</v>
      </c>
      <c r="G43" s="11" t="str">
        <f aca="false">IFERROR(IF(INDEX(Familles!$E$2:$E$7,MATCH($C43,Familles!$A$2:$A$7,0))="","",INDEX(Familles!$E$2:$E$7,MATCH($C43,Familles!$A$2:$A$7,0))),"")</f>
        <v/>
      </c>
      <c r="H43" s="9" t="s">
        <v>214</v>
      </c>
      <c r="I43" s="9" t="s">
        <v>215</v>
      </c>
      <c r="J43" s="12"/>
      <c r="K43" s="9" t="s">
        <v>109</v>
      </c>
      <c r="L43" s="9" t="s">
        <v>110</v>
      </c>
      <c r="M43" s="6" t="s">
        <v>216</v>
      </c>
      <c r="N43" s="13" t="s">
        <v>87</v>
      </c>
      <c r="O43" s="13" t="s">
        <v>217</v>
      </c>
      <c r="P43" s="14" t="s">
        <v>218</v>
      </c>
      <c r="Q43" s="13" t="s">
        <v>219</v>
      </c>
      <c r="R43" s="13" t="s">
        <v>215</v>
      </c>
    </row>
    <row r="44" customFormat="false" ht="91" hidden="false" customHeight="false" outlineLevel="0" collapsed="false">
      <c r="A44" s="8" t="s">
        <v>220</v>
      </c>
      <c r="B44" s="6" t="s">
        <v>221</v>
      </c>
      <c r="C44" s="9" t="s">
        <v>55</v>
      </c>
      <c r="D44" s="9" t="s">
        <v>83</v>
      </c>
      <c r="E44" s="10" t="str">
        <f aca="false">IFERROR(IF(INDEX(Familles!$C$2:$C$7,MATCH($C44,Familles!$A$2:$A$7,0))="","",INDEX(Familles!$C$2:$C$7,MATCH($C44,Familles!$A$2:$A$7,0))),"")</f>
        <v>À VÉRIFIER</v>
      </c>
      <c r="F44" s="10" t="str">
        <f aca="false">IFERROR(IF(INDEX(Familles!$D$2:$D$7,MATCH($C44,Familles!$A$2:$A$7,0))="","",INDEX(Familles!$D$2:$D$7,MATCH($C44,Familles!$A$2:$A$7,0))),"")</f>
        <v>À VÉRIFIER</v>
      </c>
      <c r="G44" s="11" t="str">
        <f aca="false">IFERROR(IF(INDEX(Familles!$E$2:$E$7,MATCH($C44,Familles!$A$2:$A$7,0))="","",INDEX(Familles!$E$2:$E$7,MATCH($C44,Familles!$A$2:$A$7,0))),"")</f>
        <v/>
      </c>
      <c r="H44" s="9" t="s">
        <v>222</v>
      </c>
      <c r="I44" s="9" t="s">
        <v>223</v>
      </c>
      <c r="J44" s="12"/>
      <c r="K44" s="9" t="s">
        <v>109</v>
      </c>
      <c r="L44" s="9" t="s">
        <v>110</v>
      </c>
      <c r="M44" s="6" t="s">
        <v>224</v>
      </c>
      <c r="N44" s="13" t="s">
        <v>87</v>
      </c>
      <c r="O44" s="13" t="s">
        <v>225</v>
      </c>
      <c r="P44" s="14" t="s">
        <v>226</v>
      </c>
      <c r="Q44" s="13" t="s">
        <v>227</v>
      </c>
      <c r="R44" s="13" t="s">
        <v>228</v>
      </c>
    </row>
    <row r="45" customFormat="false" ht="35.05" hidden="false" customHeight="false" outlineLevel="0" collapsed="false">
      <c r="A45" s="8" t="s">
        <v>229</v>
      </c>
      <c r="B45" s="6" t="s">
        <v>230</v>
      </c>
      <c r="C45" s="9" t="s">
        <v>55</v>
      </c>
      <c r="D45" s="9" t="s">
        <v>83</v>
      </c>
      <c r="E45" s="10" t="str">
        <f aca="false">IFERROR(IF(INDEX(Familles!$C$2:$C$7,MATCH($C45,Familles!$A$2:$A$7,0))="","",INDEX(Familles!$C$2:$C$7,MATCH($C45,Familles!$A$2:$A$7,0))),"")</f>
        <v>À VÉRIFIER</v>
      </c>
      <c r="F45" s="10" t="str">
        <f aca="false">IFERROR(IF(INDEX(Familles!$D$2:$D$7,MATCH($C45,Familles!$A$2:$A$7,0))="","",INDEX(Familles!$D$2:$D$7,MATCH($C45,Familles!$A$2:$A$7,0))),"")</f>
        <v>À VÉRIFIER</v>
      </c>
      <c r="G45" s="11" t="str">
        <f aca="false">IFERROR(IF(INDEX(Familles!$E$2:$E$7,MATCH($C45,Familles!$A$2:$A$7,0))="","",INDEX(Familles!$E$2:$E$7,MATCH($C45,Familles!$A$2:$A$7,0))),"")</f>
        <v/>
      </c>
      <c r="H45" s="9" t="s">
        <v>231</v>
      </c>
      <c r="I45" s="9" t="s">
        <v>232</v>
      </c>
      <c r="J45" s="12"/>
      <c r="K45" s="9" t="s">
        <v>109</v>
      </c>
      <c r="L45" s="9" t="s">
        <v>110</v>
      </c>
      <c r="M45" s="6" t="s">
        <v>233</v>
      </c>
      <c r="N45" s="13" t="s">
        <v>87</v>
      </c>
      <c r="O45" s="13" t="s">
        <v>234</v>
      </c>
      <c r="P45" s="14" t="s">
        <v>235</v>
      </c>
      <c r="Q45" s="13" t="s">
        <v>236</v>
      </c>
      <c r="R45" s="13" t="s">
        <v>232</v>
      </c>
    </row>
    <row r="46" customFormat="false" ht="35.05" hidden="false" customHeight="false" outlineLevel="0" collapsed="false">
      <c r="A46" s="8" t="s">
        <v>237</v>
      </c>
      <c r="B46" s="6" t="s">
        <v>238</v>
      </c>
      <c r="C46" s="9" t="s">
        <v>55</v>
      </c>
      <c r="D46" s="9" t="s">
        <v>83</v>
      </c>
      <c r="E46" s="10" t="str">
        <f aca="false">IFERROR(IF(INDEX(Familles!$C$2:$C$7,MATCH($C46,Familles!$A$2:$A$7,0))="","",INDEX(Familles!$C$2:$C$7,MATCH($C46,Familles!$A$2:$A$7,0))),"")</f>
        <v>À VÉRIFIER</v>
      </c>
      <c r="F46" s="10" t="str">
        <f aca="false">IFERROR(IF(INDEX(Familles!$D$2:$D$7,MATCH($C46,Familles!$A$2:$A$7,0))="","",INDEX(Familles!$D$2:$D$7,MATCH($C46,Familles!$A$2:$A$7,0))),"")</f>
        <v>À VÉRIFIER</v>
      </c>
      <c r="G46" s="11" t="str">
        <f aca="false">IFERROR(IF(INDEX(Familles!$E$2:$E$7,MATCH($C46,Familles!$A$2:$A$7,0))="","",INDEX(Familles!$E$2:$E$7,MATCH($C46,Familles!$A$2:$A$7,0))),"")</f>
        <v/>
      </c>
      <c r="H46" s="9" t="s">
        <v>239</v>
      </c>
      <c r="I46" s="9" t="s">
        <v>240</v>
      </c>
      <c r="J46" s="12"/>
      <c r="K46" s="9" t="s">
        <v>109</v>
      </c>
      <c r="L46" s="9" t="s">
        <v>110</v>
      </c>
      <c r="M46" s="6" t="s">
        <v>241</v>
      </c>
      <c r="N46" s="13" t="s">
        <v>87</v>
      </c>
      <c r="O46" s="13" t="s">
        <v>242</v>
      </c>
      <c r="P46" s="14" t="s">
        <v>243</v>
      </c>
      <c r="Q46" s="13" t="s">
        <v>244</v>
      </c>
      <c r="R46" s="13" t="s">
        <v>240</v>
      </c>
    </row>
    <row r="47" customFormat="false" ht="57.45" hidden="false" customHeight="false" outlineLevel="0" collapsed="false">
      <c r="A47" s="8" t="s">
        <v>245</v>
      </c>
      <c r="B47" s="6" t="s">
        <v>246</v>
      </c>
      <c r="C47" s="9" t="s">
        <v>55</v>
      </c>
      <c r="D47" s="9" t="s">
        <v>83</v>
      </c>
      <c r="E47" s="10" t="str">
        <f aca="false">IFERROR(IF(INDEX(Familles!$C$2:$C$7,MATCH($C47,Familles!$A$2:$A$7,0))="","",INDEX(Familles!$C$2:$C$7,MATCH($C47,Familles!$A$2:$A$7,0))),"")</f>
        <v>À VÉRIFIER</v>
      </c>
      <c r="F47" s="10" t="str">
        <f aca="false">IFERROR(IF(INDEX(Familles!$D$2:$D$7,MATCH($C47,Familles!$A$2:$A$7,0))="","",INDEX(Familles!$D$2:$D$7,MATCH($C47,Familles!$A$2:$A$7,0))),"")</f>
        <v>À VÉRIFIER</v>
      </c>
      <c r="G47" s="11" t="str">
        <f aca="false">IFERROR(IF(INDEX(Familles!$E$2:$E$7,MATCH($C47,Familles!$A$2:$A$7,0))="","",INDEX(Familles!$E$2:$E$7,MATCH($C47,Familles!$A$2:$A$7,0))),"")</f>
        <v/>
      </c>
      <c r="H47" s="9" t="s">
        <v>247</v>
      </c>
      <c r="I47" s="9" t="s">
        <v>248</v>
      </c>
      <c r="J47" s="12"/>
      <c r="K47" s="9" t="s">
        <v>109</v>
      </c>
      <c r="L47" s="9" t="s">
        <v>110</v>
      </c>
      <c r="M47" s="6"/>
      <c r="N47" s="13" t="s">
        <v>249</v>
      </c>
      <c r="O47" s="13" t="s">
        <v>234</v>
      </c>
      <c r="P47" s="14" t="s">
        <v>250</v>
      </c>
      <c r="Q47" s="13" t="s">
        <v>251</v>
      </c>
      <c r="R47" s="13" t="s">
        <v>248</v>
      </c>
    </row>
    <row r="48" customFormat="false" ht="15" hidden="false" customHeight="false" outlineLevel="0" collapsed="false">
      <c r="A48" s="8" t="s">
        <v>252</v>
      </c>
      <c r="B48" s="6" t="s">
        <v>253</v>
      </c>
      <c r="C48" s="9" t="s">
        <v>55</v>
      </c>
      <c r="D48" s="9" t="s">
        <v>83</v>
      </c>
      <c r="E48" s="10" t="str">
        <f aca="false">IFERROR(IF(INDEX(Familles!$C$2:$C$7,MATCH($C48,Familles!$A$2:$A$7,0))="","",INDEX(Familles!$C$2:$C$7,MATCH($C48,Familles!$A$2:$A$7,0))),"")</f>
        <v>À VÉRIFIER</v>
      </c>
      <c r="F48" s="10" t="str">
        <f aca="false">IFERROR(IF(INDEX(Familles!$D$2:$D$7,MATCH($C48,Familles!$A$2:$A$7,0))="","",INDEX(Familles!$D$2:$D$7,MATCH($C48,Familles!$A$2:$A$7,0))),"")</f>
        <v>À VÉRIFIER</v>
      </c>
      <c r="G48" s="11" t="str">
        <f aca="false">IFERROR(IF(INDEX(Familles!$E$2:$E$7,MATCH($C48,Familles!$A$2:$A$7,0))="","",INDEX(Familles!$E$2:$E$7,MATCH($C48,Familles!$A$2:$A$7,0))),"")</f>
        <v/>
      </c>
      <c r="H48" s="12"/>
      <c r="I48" s="12"/>
      <c r="J48" s="12"/>
      <c r="K48" s="9" t="s">
        <v>85</v>
      </c>
      <c r="L48" s="12"/>
      <c r="M48" s="6" t="s">
        <v>254</v>
      </c>
      <c r="N48" s="15"/>
      <c r="O48" s="15"/>
      <c r="P48" s="16"/>
      <c r="Q48" s="15"/>
      <c r="R48" s="15"/>
    </row>
    <row r="49" customFormat="false" ht="35.05" hidden="false" customHeight="false" outlineLevel="0" collapsed="false">
      <c r="A49" s="8" t="s">
        <v>255</v>
      </c>
      <c r="B49" s="6" t="s">
        <v>256</v>
      </c>
      <c r="C49" s="9" t="s">
        <v>55</v>
      </c>
      <c r="D49" s="9" t="s">
        <v>83</v>
      </c>
      <c r="E49" s="10" t="str">
        <f aca="false">IFERROR(IF(INDEX(Familles!$C$2:$C$7,MATCH($C49,Familles!$A$2:$A$7,0))="","",INDEX(Familles!$C$2:$C$7,MATCH($C49,Familles!$A$2:$A$7,0))),"")</f>
        <v>À VÉRIFIER</v>
      </c>
      <c r="F49" s="10" t="str">
        <f aca="false">IFERROR(IF(INDEX(Familles!$D$2:$D$7,MATCH($C49,Familles!$A$2:$A$7,0))="","",INDEX(Familles!$D$2:$D$7,MATCH($C49,Familles!$A$2:$A$7,0))),"")</f>
        <v>À VÉRIFIER</v>
      </c>
      <c r="G49" s="11" t="str">
        <f aca="false">IFERROR(IF(INDEX(Familles!$E$2:$E$7,MATCH($C49,Familles!$A$2:$A$7,0))="","",INDEX(Familles!$E$2:$E$7,MATCH($C49,Familles!$A$2:$A$7,0))),"")</f>
        <v/>
      </c>
      <c r="H49" s="9" t="s">
        <v>257</v>
      </c>
      <c r="I49" s="9" t="s">
        <v>258</v>
      </c>
      <c r="J49" s="12"/>
      <c r="K49" s="9" t="s">
        <v>109</v>
      </c>
      <c r="L49" s="9" t="s">
        <v>110</v>
      </c>
      <c r="M49" s="6" t="s">
        <v>259</v>
      </c>
      <c r="N49" s="13" t="s">
        <v>260</v>
      </c>
      <c r="O49" s="13" t="s">
        <v>261</v>
      </c>
      <c r="P49" s="14" t="s">
        <v>262</v>
      </c>
      <c r="Q49" s="13" t="s">
        <v>251</v>
      </c>
      <c r="R49" s="13" t="s">
        <v>258</v>
      </c>
    </row>
    <row r="50" customFormat="false" ht="15" hidden="false" customHeight="false" outlineLevel="0" collapsed="false">
      <c r="A50" s="8" t="s">
        <v>263</v>
      </c>
      <c r="B50" s="6" t="s">
        <v>264</v>
      </c>
      <c r="C50" s="9" t="s">
        <v>55</v>
      </c>
      <c r="D50" s="9" t="s">
        <v>83</v>
      </c>
      <c r="E50" s="10" t="str">
        <f aca="false">IFERROR(IF(INDEX(Familles!$C$2:$C$7,MATCH($C50,Familles!$A$2:$A$7,0))="","",INDEX(Familles!$C$2:$C$7,MATCH($C50,Familles!$A$2:$A$7,0))),"")</f>
        <v>À VÉRIFIER</v>
      </c>
      <c r="F50" s="10" t="str">
        <f aca="false">IFERROR(IF(INDEX(Familles!$D$2:$D$7,MATCH($C50,Familles!$A$2:$A$7,0))="","",INDEX(Familles!$D$2:$D$7,MATCH($C50,Familles!$A$2:$A$7,0))),"")</f>
        <v>À VÉRIFIER</v>
      </c>
      <c r="G50" s="11" t="str">
        <f aca="false">IFERROR(IF(INDEX(Familles!$E$2:$E$7,MATCH($C50,Familles!$A$2:$A$7,0))="","",INDEX(Familles!$E$2:$E$7,MATCH($C50,Familles!$A$2:$A$7,0))),"")</f>
        <v/>
      </c>
      <c r="H50" s="12"/>
      <c r="I50" s="12"/>
      <c r="J50" s="12"/>
      <c r="K50" s="9" t="s">
        <v>85</v>
      </c>
      <c r="L50" s="12"/>
      <c r="M50" s="6" t="s">
        <v>265</v>
      </c>
      <c r="N50" s="15"/>
      <c r="O50" s="15"/>
      <c r="P50" s="16"/>
      <c r="Q50" s="15"/>
      <c r="R50" s="15"/>
    </row>
    <row r="51" customFormat="false" ht="15" hidden="false" customHeight="false" outlineLevel="0" collapsed="false">
      <c r="A51" s="8" t="s">
        <v>266</v>
      </c>
      <c r="B51" s="6" t="s">
        <v>267</v>
      </c>
      <c r="C51" s="9" t="s">
        <v>58</v>
      </c>
      <c r="D51" s="9" t="s">
        <v>125</v>
      </c>
      <c r="E51" s="10" t="str">
        <f aca="false">IFERROR(IF(INDEX(Familles!$C$2:$C$7,MATCH($C51,Familles!$A$2:$A$7,0))="","",INDEX(Familles!$C$2:$C$7,MATCH($C51,Familles!$A$2:$A$7,0))),"")</f>
        <v>À VÉRIFIER</v>
      </c>
      <c r="F51" s="10" t="str">
        <f aca="false">IFERROR(IF(INDEX(Familles!$D$2:$D$7,MATCH($C51,Familles!$A$2:$A$7,0))="","",INDEX(Familles!$D$2:$D$7,MATCH($C51,Familles!$A$2:$A$7,0))),"")</f>
        <v>À VÉRIFIER</v>
      </c>
      <c r="G51" s="11" t="str">
        <f aca="false">IFERROR(IF(INDEX(Familles!$E$2:$E$7,MATCH($C51,Familles!$A$2:$A$7,0))="","",INDEX(Familles!$E$2:$E$7,MATCH($C51,Familles!$A$2:$A$7,0))),"")</f>
        <v/>
      </c>
      <c r="H51" s="12"/>
      <c r="I51" s="12"/>
      <c r="J51" s="12"/>
      <c r="K51" s="9" t="s">
        <v>85</v>
      </c>
      <c r="L51" s="12"/>
      <c r="M51" s="6" t="s">
        <v>268</v>
      </c>
      <c r="N51" s="15"/>
      <c r="O51" s="15"/>
      <c r="P51" s="16"/>
      <c r="Q51" s="15"/>
      <c r="R51" s="15"/>
    </row>
    <row r="52" customFormat="false" ht="15" hidden="false" customHeight="false" outlineLevel="0" collapsed="false">
      <c r="A52" s="8" t="s">
        <v>269</v>
      </c>
      <c r="B52" s="6" t="s">
        <v>270</v>
      </c>
      <c r="C52" s="9" t="s">
        <v>55</v>
      </c>
      <c r="D52" s="9" t="s">
        <v>83</v>
      </c>
      <c r="E52" s="10" t="str">
        <f aca="false">IFERROR(IF(INDEX(Familles!$C$2:$C$7,MATCH($C52,Familles!$A$2:$A$7,0))="","",INDEX(Familles!$C$2:$C$7,MATCH($C52,Familles!$A$2:$A$7,0))),"")</f>
        <v>À VÉRIFIER</v>
      </c>
      <c r="F52" s="10" t="str">
        <f aca="false">IFERROR(IF(INDEX(Familles!$D$2:$D$7,MATCH($C52,Familles!$A$2:$A$7,0))="","",INDEX(Familles!$D$2:$D$7,MATCH($C52,Familles!$A$2:$A$7,0))),"")</f>
        <v>À VÉRIFIER</v>
      </c>
      <c r="G52" s="11" t="str">
        <f aca="false">IFERROR(IF(INDEX(Familles!$E$2:$E$7,MATCH($C52,Familles!$A$2:$A$7,0))="","",INDEX(Familles!$E$2:$E$7,MATCH($C52,Familles!$A$2:$A$7,0))),"")</f>
        <v/>
      </c>
      <c r="H52" s="12"/>
      <c r="I52" s="12"/>
      <c r="J52" s="12"/>
      <c r="K52" s="9" t="s">
        <v>85</v>
      </c>
      <c r="L52" s="12"/>
      <c r="M52" s="6" t="s">
        <v>271</v>
      </c>
      <c r="N52" s="15"/>
      <c r="O52" s="15"/>
      <c r="P52" s="16"/>
      <c r="Q52" s="15"/>
      <c r="R52" s="15"/>
    </row>
    <row r="53" customFormat="false" ht="15" hidden="false" customHeight="false" outlineLevel="0" collapsed="false">
      <c r="A53" s="8" t="s">
        <v>272</v>
      </c>
      <c r="B53" s="6" t="s">
        <v>273</v>
      </c>
      <c r="C53" s="9" t="s">
        <v>55</v>
      </c>
      <c r="D53" s="9" t="s">
        <v>125</v>
      </c>
      <c r="E53" s="10" t="str">
        <f aca="false">IFERROR(IF(INDEX(Familles!$C$2:$C$7,MATCH($C53,Familles!$A$2:$A$7,0))="","",INDEX(Familles!$C$2:$C$7,MATCH($C53,Familles!$A$2:$A$7,0))),"")</f>
        <v>À VÉRIFIER</v>
      </c>
      <c r="F53" s="10" t="str">
        <f aca="false">IFERROR(IF(INDEX(Familles!$D$2:$D$7,MATCH($C53,Familles!$A$2:$A$7,0))="","",INDEX(Familles!$D$2:$D$7,MATCH($C53,Familles!$A$2:$A$7,0))),"")</f>
        <v>À VÉRIFIER</v>
      </c>
      <c r="G53" s="11" t="str">
        <f aca="false">IFERROR(IF(INDEX(Familles!$E$2:$E$7,MATCH($C53,Familles!$A$2:$A$7,0))="","",INDEX(Familles!$E$2:$E$7,MATCH($C53,Familles!$A$2:$A$7,0))),"")</f>
        <v/>
      </c>
      <c r="H53" s="12"/>
      <c r="I53" s="12"/>
      <c r="J53" s="12"/>
      <c r="K53" s="9" t="s">
        <v>85</v>
      </c>
      <c r="L53" s="12"/>
      <c r="M53" s="6" t="s">
        <v>274</v>
      </c>
      <c r="N53" s="15"/>
      <c r="O53" s="15"/>
      <c r="P53" s="16"/>
      <c r="Q53" s="15"/>
      <c r="R53" s="15"/>
    </row>
    <row r="54" customFormat="false" ht="15" hidden="false" customHeight="false" outlineLevel="0" collapsed="false">
      <c r="A54" s="8" t="s">
        <v>275</v>
      </c>
      <c r="B54" s="6" t="s">
        <v>276</v>
      </c>
      <c r="C54" s="9" t="s">
        <v>55</v>
      </c>
      <c r="D54" s="9" t="s">
        <v>125</v>
      </c>
      <c r="E54" s="10" t="str">
        <f aca="false">IFERROR(IF(INDEX(Familles!$C$2:$C$7,MATCH($C54,Familles!$A$2:$A$7,0))="","",INDEX(Familles!$C$2:$C$7,MATCH($C54,Familles!$A$2:$A$7,0))),"")</f>
        <v>À VÉRIFIER</v>
      </c>
      <c r="F54" s="10" t="str">
        <f aca="false">IFERROR(IF(INDEX(Familles!$D$2:$D$7,MATCH($C54,Familles!$A$2:$A$7,0))="","",INDEX(Familles!$D$2:$D$7,MATCH($C54,Familles!$A$2:$A$7,0))),"")</f>
        <v>À VÉRIFIER</v>
      </c>
      <c r="G54" s="11" t="str">
        <f aca="false">IFERROR(IF(INDEX(Familles!$E$2:$E$7,MATCH($C54,Familles!$A$2:$A$7,0))="","",INDEX(Familles!$E$2:$E$7,MATCH($C54,Familles!$A$2:$A$7,0))),"")</f>
        <v/>
      </c>
      <c r="H54" s="12"/>
      <c r="I54" s="12"/>
      <c r="J54" s="12"/>
      <c r="K54" s="9" t="s">
        <v>85</v>
      </c>
      <c r="L54" s="12"/>
      <c r="M54" s="6" t="s">
        <v>277</v>
      </c>
      <c r="N54" s="15"/>
      <c r="O54" s="15"/>
      <c r="P54" s="16"/>
      <c r="Q54" s="15"/>
      <c r="R54" s="15"/>
    </row>
    <row r="55" customFormat="false" ht="15" hidden="false" customHeight="false" outlineLevel="0" collapsed="false">
      <c r="A55" s="8" t="s">
        <v>278</v>
      </c>
      <c r="B55" s="6" t="s">
        <v>279</v>
      </c>
      <c r="C55" s="9" t="s">
        <v>58</v>
      </c>
      <c r="D55" s="9" t="s">
        <v>125</v>
      </c>
      <c r="E55" s="10" t="str">
        <f aca="false">IFERROR(IF(INDEX(Familles!$C$2:$C$7,MATCH($C55,Familles!$A$2:$A$7,0))="","",INDEX(Familles!$C$2:$C$7,MATCH($C55,Familles!$A$2:$A$7,0))),"")</f>
        <v>À VÉRIFIER</v>
      </c>
      <c r="F55" s="10" t="str">
        <f aca="false">IFERROR(IF(INDEX(Familles!$D$2:$D$7,MATCH($C55,Familles!$A$2:$A$7,0))="","",INDEX(Familles!$D$2:$D$7,MATCH($C55,Familles!$A$2:$A$7,0))),"")</f>
        <v>À VÉRIFIER</v>
      </c>
      <c r="G55" s="11" t="str">
        <f aca="false">IFERROR(IF(INDEX(Familles!$E$2:$E$7,MATCH($C55,Familles!$A$2:$A$7,0))="","",INDEX(Familles!$E$2:$E$7,MATCH($C55,Familles!$A$2:$A$7,0))),"")</f>
        <v/>
      </c>
      <c r="H55" s="12"/>
      <c r="I55" s="12"/>
      <c r="J55" s="12"/>
      <c r="K55" s="9" t="s">
        <v>85</v>
      </c>
      <c r="L55" s="12"/>
      <c r="M55" s="6" t="s">
        <v>280</v>
      </c>
      <c r="N55" s="15"/>
      <c r="O55" s="15"/>
      <c r="P55" s="16"/>
      <c r="Q55" s="15"/>
      <c r="R55" s="15"/>
    </row>
    <row r="56" customFormat="false" ht="23.85" hidden="false" customHeight="false" outlineLevel="0" collapsed="false">
      <c r="A56" s="8" t="s">
        <v>281</v>
      </c>
      <c r="B56" s="6" t="s">
        <v>282</v>
      </c>
      <c r="C56" s="9" t="s">
        <v>58</v>
      </c>
      <c r="D56" s="9" t="s">
        <v>83</v>
      </c>
      <c r="E56" s="10" t="str">
        <f aca="false">IFERROR(IF(INDEX(Familles!$C$2:$C$7,MATCH($C56,Familles!$A$2:$A$7,0))="","",INDEX(Familles!$C$2:$C$7,MATCH($C56,Familles!$A$2:$A$7,0))),"")</f>
        <v>À VÉRIFIER</v>
      </c>
      <c r="F56" s="10" t="str">
        <f aca="false">IFERROR(IF(INDEX(Familles!$D$2:$D$7,MATCH($C56,Familles!$A$2:$A$7,0))="","",INDEX(Familles!$D$2:$D$7,MATCH($C56,Familles!$A$2:$A$7,0))),"")</f>
        <v>À VÉRIFIER</v>
      </c>
      <c r="G56" s="11" t="str">
        <f aca="false">IFERROR(IF(INDEX(Familles!$E$2:$E$7,MATCH($C56,Familles!$A$2:$A$7,0))="","",INDEX(Familles!$E$2:$E$7,MATCH($C56,Familles!$A$2:$A$7,0))),"")</f>
        <v/>
      </c>
      <c r="H56" s="12"/>
      <c r="I56" s="12"/>
      <c r="J56" s="12"/>
      <c r="K56" s="9" t="s">
        <v>85</v>
      </c>
      <c r="L56" s="12"/>
      <c r="M56" s="6" t="s">
        <v>283</v>
      </c>
      <c r="N56" s="15"/>
      <c r="O56" s="15"/>
      <c r="P56" s="16"/>
      <c r="Q56" s="15"/>
      <c r="R56" s="15"/>
    </row>
    <row r="57" customFormat="false" ht="23.85" hidden="false" customHeight="false" outlineLevel="0" collapsed="false">
      <c r="A57" s="8" t="s">
        <v>284</v>
      </c>
      <c r="B57" s="6" t="s">
        <v>285</v>
      </c>
      <c r="C57" s="9" t="s">
        <v>58</v>
      </c>
      <c r="D57" s="9" t="s">
        <v>83</v>
      </c>
      <c r="E57" s="10" t="str">
        <f aca="false">IFERROR(IF(INDEX(Familles!$C$2:$C$7,MATCH($C57,Familles!$A$2:$A$7,0))="","",INDEX(Familles!$C$2:$C$7,MATCH($C57,Familles!$A$2:$A$7,0))),"")</f>
        <v>À VÉRIFIER</v>
      </c>
      <c r="F57" s="10" t="str">
        <f aca="false">IFERROR(IF(INDEX(Familles!$D$2:$D$7,MATCH($C57,Familles!$A$2:$A$7,0))="","",INDEX(Familles!$D$2:$D$7,MATCH($C57,Familles!$A$2:$A$7,0))),"")</f>
        <v>À VÉRIFIER</v>
      </c>
      <c r="G57" s="11" t="str">
        <f aca="false">IFERROR(IF(INDEX(Familles!$E$2:$E$7,MATCH($C57,Familles!$A$2:$A$7,0))="","",INDEX(Familles!$E$2:$E$7,MATCH($C57,Familles!$A$2:$A$7,0))),"")</f>
        <v/>
      </c>
      <c r="H57" s="12"/>
      <c r="I57" s="12"/>
      <c r="J57" s="12"/>
      <c r="K57" s="9" t="s">
        <v>85</v>
      </c>
      <c r="L57" s="12"/>
      <c r="M57" s="6" t="s">
        <v>286</v>
      </c>
      <c r="N57" s="15"/>
      <c r="O57" s="15"/>
      <c r="P57" s="16"/>
      <c r="Q57" s="15"/>
      <c r="R57" s="15"/>
    </row>
    <row r="58" customFormat="false" ht="15" hidden="false" customHeight="false" outlineLevel="0" collapsed="false">
      <c r="A58" s="8" t="s">
        <v>287</v>
      </c>
      <c r="B58" s="6" t="s">
        <v>288</v>
      </c>
      <c r="C58" s="9" t="s">
        <v>58</v>
      </c>
      <c r="D58" s="9" t="s">
        <v>83</v>
      </c>
      <c r="E58" s="10" t="str">
        <f aca="false">IFERROR(IF(INDEX(Familles!$C$2:$C$7,MATCH($C58,Familles!$A$2:$A$7,0))="","",INDEX(Familles!$C$2:$C$7,MATCH($C58,Familles!$A$2:$A$7,0))),"")</f>
        <v>À VÉRIFIER</v>
      </c>
      <c r="F58" s="10" t="str">
        <f aca="false">IFERROR(IF(INDEX(Familles!$D$2:$D$7,MATCH($C58,Familles!$A$2:$A$7,0))="","",INDEX(Familles!$D$2:$D$7,MATCH($C58,Familles!$A$2:$A$7,0))),"")</f>
        <v>À VÉRIFIER</v>
      </c>
      <c r="G58" s="11" t="str">
        <f aca="false">IFERROR(IF(INDEX(Familles!$E$2:$E$7,MATCH($C58,Familles!$A$2:$A$7,0))="","",INDEX(Familles!$E$2:$E$7,MATCH($C58,Familles!$A$2:$A$7,0))),"")</f>
        <v/>
      </c>
      <c r="H58" s="12"/>
      <c r="I58" s="12"/>
      <c r="J58" s="12"/>
      <c r="K58" s="9" t="s">
        <v>85</v>
      </c>
      <c r="L58" s="12"/>
      <c r="M58" s="6" t="s">
        <v>289</v>
      </c>
      <c r="N58" s="15"/>
      <c r="O58" s="15"/>
      <c r="P58" s="16"/>
      <c r="Q58" s="15"/>
      <c r="R58" s="15"/>
    </row>
  </sheetData>
  <autoFilter ref="A1:R58"/>
  <dataValidations count="3">
    <dataValidation allowBlank="false" errorStyle="stop" operator="between" showDropDown="false" showErrorMessage="false" showInputMessage="false" sqref="C2:C58" type="list">
      <formula1>"paris_musees,musee_national,cmn,militaire,prive_assoc,autre_public"</formula1>
      <formula2>0</formula2>
    </dataValidation>
    <dataValidation allowBlank="false" errorStyle="stop" operator="between" showDropDown="false" showErrorMessage="false" showInputMessage="false" sqref="K2:K58" type="list">
      <formula1>"à vérifier,vérifié,problème,hors périmètre"</formula1>
      <formula2>0</formula2>
    </dataValidation>
    <dataValidation allowBlank="true" errorStyle="stop" operator="between" showDropDown="false" showErrorMessage="false" showInputMessage="false" sqref="D2:D58" type="list">
      <formula1>"sûr,à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52"/>
    <col collapsed="false" customWidth="true" hidden="false" outlineLevel="0" max="9" min="9" style="0" width="46"/>
    <col collapsed="false" customWidth="true" hidden="false" outlineLevel="0" max="11" min="10" style="0" width="13"/>
  </cols>
  <sheetData>
    <row r="1" customFormat="false" ht="15" hidden="false" customHeight="false" outlineLevel="0" collapsed="false">
      <c r="A1" s="4" t="s">
        <v>290</v>
      </c>
      <c r="B1" s="4" t="s">
        <v>291</v>
      </c>
      <c r="C1" s="4" t="s">
        <v>292</v>
      </c>
      <c r="D1" s="4" t="s">
        <v>293</v>
      </c>
      <c r="E1" s="4" t="s">
        <v>294</v>
      </c>
      <c r="F1" s="4" t="s">
        <v>295</v>
      </c>
      <c r="G1" s="4" t="s">
        <v>296</v>
      </c>
      <c r="H1" s="4" t="s">
        <v>297</v>
      </c>
      <c r="I1" s="4" t="s">
        <v>298</v>
      </c>
      <c r="J1" s="4" t="s">
        <v>299</v>
      </c>
      <c r="K1" s="4" t="s">
        <v>300</v>
      </c>
    </row>
    <row r="2" customFormat="false" ht="23.85" hidden="false" customHeight="false" outlineLevel="0" collapsed="false">
      <c r="A2" s="8" t="s">
        <v>229</v>
      </c>
      <c r="B2" s="8" t="s">
        <v>301</v>
      </c>
      <c r="C2" s="8" t="s">
        <v>302</v>
      </c>
      <c r="D2" s="8" t="s">
        <v>303</v>
      </c>
      <c r="E2" s="17" t="n">
        <v>10</v>
      </c>
      <c r="F2" s="17" t="n">
        <v>15</v>
      </c>
      <c r="G2" s="8" t="s">
        <v>304</v>
      </c>
      <c r="H2" s="6" t="s">
        <v>305</v>
      </c>
      <c r="I2" s="6" t="s">
        <v>306</v>
      </c>
      <c r="J2" s="18" t="s">
        <v>110</v>
      </c>
      <c r="K2" s="18" t="s">
        <v>307</v>
      </c>
    </row>
    <row r="3" customFormat="false" ht="23.85" hidden="false" customHeight="false" outlineLevel="0" collapsed="false">
      <c r="A3" s="8" t="s">
        <v>229</v>
      </c>
      <c r="B3" s="8" t="s">
        <v>301</v>
      </c>
      <c r="C3" s="8" t="s">
        <v>302</v>
      </c>
      <c r="D3" s="8" t="s">
        <v>308</v>
      </c>
      <c r="E3" s="17" t="n">
        <v>10</v>
      </c>
      <c r="F3" s="17" t="n">
        <v>15</v>
      </c>
      <c r="G3" s="8" t="s">
        <v>304</v>
      </c>
      <c r="H3" s="6" t="s">
        <v>309</v>
      </c>
      <c r="I3" s="6" t="s">
        <v>306</v>
      </c>
      <c r="J3" s="18" t="s">
        <v>110</v>
      </c>
      <c r="K3" s="18" t="s">
        <v>307</v>
      </c>
    </row>
    <row r="4" customFormat="false" ht="23.85" hidden="false" customHeight="false" outlineLevel="0" collapsed="false">
      <c r="A4" s="8" t="s">
        <v>229</v>
      </c>
      <c r="B4" s="8" t="s">
        <v>301</v>
      </c>
      <c r="C4" s="8" t="s">
        <v>302</v>
      </c>
      <c r="D4" s="8" t="s">
        <v>310</v>
      </c>
      <c r="E4" s="17" t="n">
        <v>10</v>
      </c>
      <c r="F4" s="17" t="n">
        <v>15</v>
      </c>
      <c r="G4" s="8" t="s">
        <v>304</v>
      </c>
      <c r="H4" s="6" t="s">
        <v>311</v>
      </c>
      <c r="I4" s="6" t="s">
        <v>306</v>
      </c>
      <c r="J4" s="18" t="s">
        <v>110</v>
      </c>
      <c r="K4" s="18" t="s">
        <v>307</v>
      </c>
    </row>
    <row r="5" customFormat="false" ht="23.85" hidden="false" customHeight="false" outlineLevel="0" collapsed="false">
      <c r="A5" s="8" t="s">
        <v>229</v>
      </c>
      <c r="B5" s="8" t="s">
        <v>301</v>
      </c>
      <c r="C5" s="8" t="s">
        <v>302</v>
      </c>
      <c r="D5" s="8" t="s">
        <v>312</v>
      </c>
      <c r="E5" s="17" t="n">
        <v>10</v>
      </c>
      <c r="F5" s="17" t="n">
        <v>15</v>
      </c>
      <c r="G5" s="8" t="s">
        <v>304</v>
      </c>
      <c r="H5" s="6" t="s">
        <v>313</v>
      </c>
      <c r="I5" s="6" t="s">
        <v>306</v>
      </c>
      <c r="J5" s="18" t="s">
        <v>110</v>
      </c>
      <c r="K5" s="18" t="s">
        <v>307</v>
      </c>
    </row>
    <row r="6" customFormat="false" ht="23.85" hidden="false" customHeight="false" outlineLevel="0" collapsed="false">
      <c r="A6" s="8" t="s">
        <v>229</v>
      </c>
      <c r="B6" s="8" t="s">
        <v>301</v>
      </c>
      <c r="C6" s="8" t="s">
        <v>314</v>
      </c>
      <c r="D6" s="8" t="s">
        <v>315</v>
      </c>
      <c r="E6" s="17" t="n">
        <v>0</v>
      </c>
      <c r="F6" s="17" t="n">
        <v>15</v>
      </c>
      <c r="G6" s="8" t="s">
        <v>304</v>
      </c>
      <c r="H6" s="6" t="s">
        <v>305</v>
      </c>
      <c r="I6" s="6" t="s">
        <v>306</v>
      </c>
      <c r="J6" s="18" t="s">
        <v>110</v>
      </c>
      <c r="K6" s="18" t="s">
        <v>307</v>
      </c>
    </row>
    <row r="7" customFormat="false" ht="23.85" hidden="false" customHeight="false" outlineLevel="0" collapsed="false">
      <c r="A7" s="8" t="s">
        <v>229</v>
      </c>
      <c r="B7" s="8" t="s">
        <v>301</v>
      </c>
      <c r="C7" s="8" t="s">
        <v>314</v>
      </c>
      <c r="D7" s="8" t="s">
        <v>316</v>
      </c>
      <c r="E7" s="17" t="n">
        <v>0</v>
      </c>
      <c r="F7" s="17" t="n">
        <v>15</v>
      </c>
      <c r="G7" s="8" t="s">
        <v>304</v>
      </c>
      <c r="H7" s="6" t="s">
        <v>311</v>
      </c>
      <c r="I7" s="6" t="s">
        <v>306</v>
      </c>
      <c r="J7" s="18" t="s">
        <v>110</v>
      </c>
      <c r="K7" s="18" t="s">
        <v>307</v>
      </c>
    </row>
    <row r="8" customFormat="false" ht="23.85" hidden="false" customHeight="false" outlineLevel="0" collapsed="false">
      <c r="A8" s="8" t="s">
        <v>229</v>
      </c>
      <c r="B8" s="8" t="s">
        <v>301</v>
      </c>
      <c r="C8" s="8" t="s">
        <v>314</v>
      </c>
      <c r="D8" s="8" t="s">
        <v>317</v>
      </c>
      <c r="E8" s="17" t="n">
        <v>0</v>
      </c>
      <c r="F8" s="17" t="n">
        <v>15</v>
      </c>
      <c r="G8" s="8" t="s">
        <v>304</v>
      </c>
      <c r="H8" s="6" t="s">
        <v>318</v>
      </c>
      <c r="I8" s="6" t="s">
        <v>306</v>
      </c>
      <c r="J8" s="18" t="s">
        <v>110</v>
      </c>
      <c r="K8" s="18" t="s">
        <v>307</v>
      </c>
    </row>
    <row r="9" customFormat="false" ht="23.85" hidden="false" customHeight="false" outlineLevel="0" collapsed="false">
      <c r="A9" s="8" t="s">
        <v>229</v>
      </c>
      <c r="B9" s="8" t="s">
        <v>301</v>
      </c>
      <c r="C9" s="8" t="s">
        <v>314</v>
      </c>
      <c r="D9" s="8" t="s">
        <v>319</v>
      </c>
      <c r="E9" s="17" t="n">
        <v>0</v>
      </c>
      <c r="F9" s="17" t="n">
        <v>15</v>
      </c>
      <c r="G9" s="8" t="s">
        <v>304</v>
      </c>
      <c r="H9" s="6" t="s">
        <v>320</v>
      </c>
      <c r="I9" s="6" t="s">
        <v>306</v>
      </c>
      <c r="J9" s="18" t="s">
        <v>110</v>
      </c>
      <c r="K9" s="18" t="s">
        <v>307</v>
      </c>
    </row>
    <row r="10" customFormat="false" ht="23.85" hidden="false" customHeight="false" outlineLevel="0" collapsed="false">
      <c r="A10" s="8" t="s">
        <v>229</v>
      </c>
      <c r="B10" s="8" t="s">
        <v>301</v>
      </c>
      <c r="C10" s="8" t="s">
        <v>314</v>
      </c>
      <c r="D10" s="8" t="s">
        <v>321</v>
      </c>
      <c r="E10" s="17" t="n">
        <v>0</v>
      </c>
      <c r="F10" s="17" t="n">
        <v>15</v>
      </c>
      <c r="G10" s="8" t="s">
        <v>304</v>
      </c>
      <c r="H10" s="6" t="s">
        <v>322</v>
      </c>
      <c r="I10" s="6" t="s">
        <v>306</v>
      </c>
      <c r="J10" s="18" t="s">
        <v>110</v>
      </c>
      <c r="K10" s="18" t="s">
        <v>307</v>
      </c>
    </row>
    <row r="11" customFormat="false" ht="23.85" hidden="false" customHeight="false" outlineLevel="0" collapsed="false">
      <c r="A11" s="8" t="s">
        <v>229</v>
      </c>
      <c r="B11" s="8" t="s">
        <v>301</v>
      </c>
      <c r="C11" s="8" t="s">
        <v>314</v>
      </c>
      <c r="D11" s="8" t="s">
        <v>323</v>
      </c>
      <c r="E11" s="17" t="n">
        <v>0</v>
      </c>
      <c r="F11" s="17" t="n">
        <v>15</v>
      </c>
      <c r="G11" s="8" t="s">
        <v>304</v>
      </c>
      <c r="H11" s="6" t="s">
        <v>324</v>
      </c>
      <c r="I11" s="6" t="s">
        <v>306</v>
      </c>
      <c r="J11" s="18" t="s">
        <v>110</v>
      </c>
      <c r="K11" s="18" t="s">
        <v>307</v>
      </c>
    </row>
    <row r="12" customFormat="false" ht="23.85" hidden="false" customHeight="false" outlineLevel="0" collapsed="false">
      <c r="A12" s="8" t="s">
        <v>229</v>
      </c>
      <c r="B12" s="8" t="s">
        <v>301</v>
      </c>
      <c r="C12" s="8" t="s">
        <v>325</v>
      </c>
      <c r="D12" s="8" t="s">
        <v>326</v>
      </c>
      <c r="E12" s="17" t="n">
        <v>20</v>
      </c>
      <c r="F12" s="17" t="n">
        <v>15</v>
      </c>
      <c r="G12" s="8" t="s">
        <v>327</v>
      </c>
      <c r="H12" s="6" t="s">
        <v>328</v>
      </c>
      <c r="I12" s="6" t="s">
        <v>306</v>
      </c>
      <c r="J12" s="18" t="s">
        <v>110</v>
      </c>
      <c r="K12" s="18" t="s">
        <v>307</v>
      </c>
    </row>
    <row r="13" customFormat="false" ht="23.85" hidden="false" customHeight="false" outlineLevel="0" collapsed="false">
      <c r="A13" s="8" t="s">
        <v>237</v>
      </c>
      <c r="B13" s="8" t="s">
        <v>301</v>
      </c>
      <c r="C13" s="8" t="s">
        <v>302</v>
      </c>
      <c r="D13" s="8" t="s">
        <v>329</v>
      </c>
      <c r="E13" s="17" t="n">
        <v>10</v>
      </c>
      <c r="F13" s="17" t="n">
        <v>15</v>
      </c>
      <c r="G13" s="8" t="s">
        <v>304</v>
      </c>
      <c r="H13" s="6" t="s">
        <v>330</v>
      </c>
      <c r="I13" s="6" t="s">
        <v>240</v>
      </c>
      <c r="J13" s="18" t="s">
        <v>110</v>
      </c>
      <c r="K13" s="18" t="s">
        <v>307</v>
      </c>
    </row>
    <row r="14" customFormat="false" ht="23.85" hidden="false" customHeight="false" outlineLevel="0" collapsed="false">
      <c r="A14" s="8" t="s">
        <v>237</v>
      </c>
      <c r="B14" s="8" t="s">
        <v>301</v>
      </c>
      <c r="C14" s="8" t="s">
        <v>314</v>
      </c>
      <c r="D14" s="8" t="s">
        <v>329</v>
      </c>
      <c r="E14" s="17" t="n">
        <v>0</v>
      </c>
      <c r="F14" s="17" t="n">
        <v>15</v>
      </c>
      <c r="G14" s="8" t="s">
        <v>331</v>
      </c>
      <c r="H14" s="6" t="s">
        <v>332</v>
      </c>
      <c r="I14" s="6" t="s">
        <v>240</v>
      </c>
      <c r="J14" s="18" t="s">
        <v>110</v>
      </c>
      <c r="K14" s="18" t="s">
        <v>307</v>
      </c>
    </row>
    <row r="15" customFormat="false" ht="23.85" hidden="false" customHeight="false" outlineLevel="0" collapsed="false">
      <c r="A15" s="8" t="s">
        <v>237</v>
      </c>
      <c r="B15" s="8" t="s">
        <v>301</v>
      </c>
      <c r="C15" s="8" t="s">
        <v>302</v>
      </c>
      <c r="D15" s="8" t="s">
        <v>329</v>
      </c>
      <c r="E15" s="17" t="n">
        <v>7.5</v>
      </c>
      <c r="F15" s="17" t="n">
        <v>15</v>
      </c>
      <c r="G15" s="8" t="s">
        <v>333</v>
      </c>
      <c r="H15" s="6" t="s">
        <v>334</v>
      </c>
      <c r="I15" s="6" t="s">
        <v>240</v>
      </c>
      <c r="J15" s="18" t="s">
        <v>110</v>
      </c>
      <c r="K15" s="18" t="s">
        <v>307</v>
      </c>
    </row>
    <row r="16" customFormat="false" ht="23.85" hidden="false" customHeight="false" outlineLevel="0" collapsed="false">
      <c r="A16" s="8" t="s">
        <v>237</v>
      </c>
      <c r="B16" s="8" t="s">
        <v>301</v>
      </c>
      <c r="C16" s="8" t="s">
        <v>314</v>
      </c>
      <c r="D16" s="8" t="s">
        <v>319</v>
      </c>
      <c r="E16" s="17" t="n">
        <v>0</v>
      </c>
      <c r="F16" s="17" t="n">
        <v>15</v>
      </c>
      <c r="G16" s="8" t="s">
        <v>304</v>
      </c>
      <c r="H16" s="6" t="s">
        <v>335</v>
      </c>
      <c r="I16" s="6" t="s">
        <v>240</v>
      </c>
      <c r="J16" s="18" t="s">
        <v>110</v>
      </c>
      <c r="K16" s="18" t="s">
        <v>307</v>
      </c>
    </row>
    <row r="17" customFormat="false" ht="23.85" hidden="false" customHeight="false" outlineLevel="0" collapsed="false">
      <c r="A17" s="8" t="s">
        <v>237</v>
      </c>
      <c r="B17" s="8" t="s">
        <v>301</v>
      </c>
      <c r="C17" s="8" t="s">
        <v>302</v>
      </c>
      <c r="D17" s="8" t="s">
        <v>336</v>
      </c>
      <c r="E17" s="17" t="n">
        <v>9</v>
      </c>
      <c r="F17" s="17" t="n">
        <v>15</v>
      </c>
      <c r="G17" s="8" t="s">
        <v>337</v>
      </c>
      <c r="H17" s="6" t="s">
        <v>338</v>
      </c>
      <c r="I17" s="6" t="s">
        <v>240</v>
      </c>
      <c r="J17" s="18" t="s">
        <v>110</v>
      </c>
      <c r="K17" s="18" t="s">
        <v>307</v>
      </c>
    </row>
    <row r="18" customFormat="false" ht="23.85" hidden="false" customHeight="false" outlineLevel="0" collapsed="false">
      <c r="A18" s="8" t="s">
        <v>194</v>
      </c>
      <c r="B18" s="8" t="s">
        <v>339</v>
      </c>
      <c r="C18" s="8" t="s">
        <v>314</v>
      </c>
      <c r="D18" s="8" t="s">
        <v>329</v>
      </c>
      <c r="E18" s="17" t="n">
        <v>0</v>
      </c>
      <c r="F18" s="17" t="n">
        <v>15</v>
      </c>
      <c r="G18" s="8" t="s">
        <v>304</v>
      </c>
      <c r="H18" s="6" t="s">
        <v>340</v>
      </c>
      <c r="I18" s="6" t="s">
        <v>197</v>
      </c>
      <c r="J18" s="18" t="s">
        <v>110</v>
      </c>
      <c r="K18" s="18" t="s">
        <v>307</v>
      </c>
    </row>
    <row r="19" customFormat="false" ht="15" hidden="false" customHeight="false" outlineLevel="0" collapsed="false">
      <c r="A19" s="8" t="s">
        <v>194</v>
      </c>
      <c r="B19" s="8" t="s">
        <v>339</v>
      </c>
      <c r="C19" s="8" t="s">
        <v>314</v>
      </c>
      <c r="D19" s="8" t="s">
        <v>315</v>
      </c>
      <c r="E19" s="17" t="n">
        <v>0</v>
      </c>
      <c r="F19" s="17" t="n">
        <v>15</v>
      </c>
      <c r="G19" s="8" t="s">
        <v>304</v>
      </c>
      <c r="H19" s="6" t="s">
        <v>305</v>
      </c>
      <c r="I19" s="6" t="s">
        <v>197</v>
      </c>
      <c r="J19" s="18" t="s">
        <v>110</v>
      </c>
      <c r="K19" s="18" t="s">
        <v>307</v>
      </c>
    </row>
    <row r="20" customFormat="false" ht="15" hidden="false" customHeight="false" outlineLevel="0" collapsed="false">
      <c r="A20" s="8" t="s">
        <v>194</v>
      </c>
      <c r="B20" s="8" t="s">
        <v>339</v>
      </c>
      <c r="C20" s="8" t="s">
        <v>314</v>
      </c>
      <c r="D20" s="8" t="s">
        <v>310</v>
      </c>
      <c r="E20" s="17" t="n">
        <v>0</v>
      </c>
      <c r="F20" s="17" t="n">
        <v>15</v>
      </c>
      <c r="G20" s="8" t="s">
        <v>304</v>
      </c>
      <c r="H20" s="6" t="s">
        <v>341</v>
      </c>
      <c r="I20" s="6" t="s">
        <v>197</v>
      </c>
      <c r="J20" s="18" t="s">
        <v>110</v>
      </c>
      <c r="K20" s="18" t="s">
        <v>307</v>
      </c>
    </row>
    <row r="21" customFormat="false" ht="15" hidden="false" customHeight="false" outlineLevel="0" collapsed="false">
      <c r="A21" s="8" t="s">
        <v>194</v>
      </c>
      <c r="B21" s="8" t="s">
        <v>339</v>
      </c>
      <c r="C21" s="8" t="s">
        <v>314</v>
      </c>
      <c r="D21" s="8" t="s">
        <v>316</v>
      </c>
      <c r="E21" s="17" t="n">
        <v>0</v>
      </c>
      <c r="F21" s="17" t="n">
        <v>15</v>
      </c>
      <c r="G21" s="8" t="s">
        <v>304</v>
      </c>
      <c r="H21" s="6" t="s">
        <v>342</v>
      </c>
      <c r="I21" s="6" t="s">
        <v>197</v>
      </c>
      <c r="J21" s="18" t="s">
        <v>110</v>
      </c>
      <c r="K21" s="18" t="s">
        <v>307</v>
      </c>
    </row>
    <row r="22" customFormat="false" ht="15" hidden="false" customHeight="false" outlineLevel="0" collapsed="false">
      <c r="A22" s="8" t="s">
        <v>194</v>
      </c>
      <c r="B22" s="8" t="s">
        <v>339</v>
      </c>
      <c r="C22" s="8" t="s">
        <v>314</v>
      </c>
      <c r="D22" s="8" t="s">
        <v>312</v>
      </c>
      <c r="E22" s="17" t="n">
        <v>0</v>
      </c>
      <c r="F22" s="17" t="n">
        <v>15</v>
      </c>
      <c r="G22" s="8" t="s">
        <v>304</v>
      </c>
      <c r="H22" s="6" t="s">
        <v>343</v>
      </c>
      <c r="I22" s="6" t="s">
        <v>197</v>
      </c>
      <c r="J22" s="18" t="s">
        <v>110</v>
      </c>
      <c r="K22" s="18" t="s">
        <v>307</v>
      </c>
    </row>
    <row r="23" customFormat="false" ht="23.85" hidden="false" customHeight="false" outlineLevel="0" collapsed="false">
      <c r="A23" s="8" t="s">
        <v>194</v>
      </c>
      <c r="B23" s="8" t="s">
        <v>339</v>
      </c>
      <c r="C23" s="8" t="s">
        <v>314</v>
      </c>
      <c r="D23" s="8" t="s">
        <v>319</v>
      </c>
      <c r="E23" s="17" t="n">
        <v>0</v>
      </c>
      <c r="F23" s="17" t="n">
        <v>15</v>
      </c>
      <c r="G23" s="8" t="s">
        <v>304</v>
      </c>
      <c r="H23" s="6" t="s">
        <v>344</v>
      </c>
      <c r="I23" s="6" t="s">
        <v>197</v>
      </c>
      <c r="J23" s="18" t="s">
        <v>110</v>
      </c>
      <c r="K23" s="18" t="s">
        <v>307</v>
      </c>
    </row>
    <row r="24" customFormat="false" ht="15" hidden="false" customHeight="false" outlineLevel="0" collapsed="false">
      <c r="A24" s="8" t="s">
        <v>194</v>
      </c>
      <c r="B24" s="8" t="s">
        <v>339</v>
      </c>
      <c r="C24" s="8" t="s">
        <v>314</v>
      </c>
      <c r="D24" s="8" t="s">
        <v>323</v>
      </c>
      <c r="E24" s="17" t="n">
        <v>0</v>
      </c>
      <c r="F24" s="17" t="n">
        <v>15</v>
      </c>
      <c r="G24" s="8" t="s">
        <v>304</v>
      </c>
      <c r="H24" s="6" t="s">
        <v>345</v>
      </c>
      <c r="I24" s="6" t="s">
        <v>197</v>
      </c>
      <c r="J24" s="18" t="s">
        <v>110</v>
      </c>
      <c r="K24" s="18" t="s">
        <v>307</v>
      </c>
    </row>
    <row r="25" customFormat="false" ht="15" hidden="false" customHeight="false" outlineLevel="0" collapsed="false">
      <c r="A25" s="8" t="s">
        <v>194</v>
      </c>
      <c r="B25" s="8" t="s">
        <v>339</v>
      </c>
      <c r="C25" s="8" t="s">
        <v>302</v>
      </c>
      <c r="D25" s="8" t="s">
        <v>346</v>
      </c>
      <c r="E25" s="17" t="n">
        <v>10</v>
      </c>
      <c r="F25" s="17" t="n">
        <v>15</v>
      </c>
      <c r="G25" s="8" t="s">
        <v>304</v>
      </c>
      <c r="H25" s="6" t="s">
        <v>347</v>
      </c>
      <c r="I25" s="6" t="s">
        <v>197</v>
      </c>
      <c r="J25" s="18" t="s">
        <v>110</v>
      </c>
      <c r="K25" s="18" t="s">
        <v>307</v>
      </c>
    </row>
    <row r="26" customFormat="false" ht="23.85" hidden="false" customHeight="false" outlineLevel="0" collapsed="false">
      <c r="A26" s="8" t="s">
        <v>203</v>
      </c>
      <c r="B26" s="8" t="s">
        <v>339</v>
      </c>
      <c r="C26" s="8" t="s">
        <v>314</v>
      </c>
      <c r="D26" s="8" t="s">
        <v>329</v>
      </c>
      <c r="E26" s="17" t="n">
        <v>0</v>
      </c>
      <c r="F26" s="17" t="n">
        <v>13</v>
      </c>
      <c r="G26" s="8" t="s">
        <v>304</v>
      </c>
      <c r="H26" s="6" t="s">
        <v>340</v>
      </c>
      <c r="I26" s="6" t="s">
        <v>197</v>
      </c>
      <c r="J26" s="18" t="s">
        <v>110</v>
      </c>
      <c r="K26" s="18" t="s">
        <v>307</v>
      </c>
    </row>
    <row r="27" customFormat="false" ht="15" hidden="false" customHeight="false" outlineLevel="0" collapsed="false">
      <c r="A27" s="8" t="s">
        <v>203</v>
      </c>
      <c r="B27" s="8" t="s">
        <v>339</v>
      </c>
      <c r="C27" s="8" t="s">
        <v>314</v>
      </c>
      <c r="D27" s="8" t="s">
        <v>315</v>
      </c>
      <c r="E27" s="17" t="n">
        <v>0</v>
      </c>
      <c r="F27" s="17" t="n">
        <v>13</v>
      </c>
      <c r="G27" s="8" t="s">
        <v>304</v>
      </c>
      <c r="H27" s="6" t="s">
        <v>305</v>
      </c>
      <c r="I27" s="6" t="s">
        <v>197</v>
      </c>
      <c r="J27" s="18" t="s">
        <v>110</v>
      </c>
      <c r="K27" s="18" t="s">
        <v>307</v>
      </c>
    </row>
    <row r="28" customFormat="false" ht="15" hidden="false" customHeight="false" outlineLevel="0" collapsed="false">
      <c r="A28" s="8" t="s">
        <v>203</v>
      </c>
      <c r="B28" s="8" t="s">
        <v>339</v>
      </c>
      <c r="C28" s="8" t="s">
        <v>314</v>
      </c>
      <c r="D28" s="8" t="s">
        <v>310</v>
      </c>
      <c r="E28" s="17" t="n">
        <v>0</v>
      </c>
      <c r="F28" s="17" t="n">
        <v>13</v>
      </c>
      <c r="G28" s="8" t="s">
        <v>304</v>
      </c>
      <c r="H28" s="6" t="s">
        <v>341</v>
      </c>
      <c r="I28" s="6" t="s">
        <v>197</v>
      </c>
      <c r="J28" s="18" t="s">
        <v>110</v>
      </c>
      <c r="K28" s="18" t="s">
        <v>307</v>
      </c>
    </row>
    <row r="29" customFormat="false" ht="15" hidden="false" customHeight="false" outlineLevel="0" collapsed="false">
      <c r="A29" s="8" t="s">
        <v>203</v>
      </c>
      <c r="B29" s="8" t="s">
        <v>339</v>
      </c>
      <c r="C29" s="8" t="s">
        <v>314</v>
      </c>
      <c r="D29" s="8" t="s">
        <v>316</v>
      </c>
      <c r="E29" s="17" t="n">
        <v>0</v>
      </c>
      <c r="F29" s="17" t="n">
        <v>13</v>
      </c>
      <c r="G29" s="8" t="s">
        <v>304</v>
      </c>
      <c r="H29" s="6" t="s">
        <v>342</v>
      </c>
      <c r="I29" s="6" t="s">
        <v>197</v>
      </c>
      <c r="J29" s="18" t="s">
        <v>110</v>
      </c>
      <c r="K29" s="18" t="s">
        <v>307</v>
      </c>
    </row>
    <row r="30" customFormat="false" ht="15" hidden="false" customHeight="false" outlineLevel="0" collapsed="false">
      <c r="A30" s="8" t="s">
        <v>203</v>
      </c>
      <c r="B30" s="8" t="s">
        <v>339</v>
      </c>
      <c r="C30" s="8" t="s">
        <v>314</v>
      </c>
      <c r="D30" s="8" t="s">
        <v>312</v>
      </c>
      <c r="E30" s="17" t="n">
        <v>0</v>
      </c>
      <c r="F30" s="17" t="n">
        <v>13</v>
      </c>
      <c r="G30" s="8" t="s">
        <v>304</v>
      </c>
      <c r="H30" s="6" t="s">
        <v>343</v>
      </c>
      <c r="I30" s="6" t="s">
        <v>197</v>
      </c>
      <c r="J30" s="18" t="s">
        <v>110</v>
      </c>
      <c r="K30" s="18" t="s">
        <v>307</v>
      </c>
    </row>
    <row r="31" customFormat="false" ht="23.85" hidden="false" customHeight="false" outlineLevel="0" collapsed="false">
      <c r="A31" s="8" t="s">
        <v>203</v>
      </c>
      <c r="B31" s="8" t="s">
        <v>339</v>
      </c>
      <c r="C31" s="8" t="s">
        <v>314</v>
      </c>
      <c r="D31" s="8" t="s">
        <v>319</v>
      </c>
      <c r="E31" s="17" t="n">
        <v>0</v>
      </c>
      <c r="F31" s="17" t="n">
        <v>13</v>
      </c>
      <c r="G31" s="8" t="s">
        <v>304</v>
      </c>
      <c r="H31" s="6" t="s">
        <v>344</v>
      </c>
      <c r="I31" s="6" t="s">
        <v>197</v>
      </c>
      <c r="J31" s="18" t="s">
        <v>110</v>
      </c>
      <c r="K31" s="18" t="s">
        <v>307</v>
      </c>
    </row>
    <row r="32" customFormat="false" ht="15" hidden="false" customHeight="false" outlineLevel="0" collapsed="false">
      <c r="A32" s="8" t="s">
        <v>203</v>
      </c>
      <c r="B32" s="8" t="s">
        <v>339</v>
      </c>
      <c r="C32" s="8" t="s">
        <v>314</v>
      </c>
      <c r="D32" s="8" t="s">
        <v>323</v>
      </c>
      <c r="E32" s="17" t="n">
        <v>0</v>
      </c>
      <c r="F32" s="17" t="n">
        <v>13</v>
      </c>
      <c r="G32" s="8" t="s">
        <v>304</v>
      </c>
      <c r="H32" s="6" t="s">
        <v>345</v>
      </c>
      <c r="I32" s="6" t="s">
        <v>197</v>
      </c>
      <c r="J32" s="18" t="s">
        <v>110</v>
      </c>
      <c r="K32" s="18" t="s">
        <v>307</v>
      </c>
    </row>
    <row r="33" customFormat="false" ht="15" hidden="false" customHeight="false" outlineLevel="0" collapsed="false">
      <c r="A33" s="8" t="s">
        <v>203</v>
      </c>
      <c r="B33" s="8" t="s">
        <v>339</v>
      </c>
      <c r="C33" s="8" t="s">
        <v>302</v>
      </c>
      <c r="D33" s="8" t="s">
        <v>346</v>
      </c>
      <c r="E33" s="17" t="n">
        <v>9</v>
      </c>
      <c r="F33" s="17" t="n">
        <v>13</v>
      </c>
      <c r="G33" s="8" t="s">
        <v>304</v>
      </c>
      <c r="H33" s="6" t="s">
        <v>347</v>
      </c>
      <c r="I33" s="6" t="s">
        <v>197</v>
      </c>
      <c r="J33" s="18" t="s">
        <v>110</v>
      </c>
      <c r="K33" s="18" t="s">
        <v>307</v>
      </c>
    </row>
    <row r="34" customFormat="false" ht="15" hidden="false" customHeight="false" outlineLevel="0" collapsed="false">
      <c r="A34" s="8" t="s">
        <v>220</v>
      </c>
      <c r="B34" s="8" t="s">
        <v>348</v>
      </c>
      <c r="C34" s="8" t="s">
        <v>314</v>
      </c>
      <c r="D34" s="8" t="s">
        <v>349</v>
      </c>
      <c r="E34" s="17" t="n">
        <v>0</v>
      </c>
      <c r="F34" s="17" t="n">
        <v>13</v>
      </c>
      <c r="G34" s="8" t="s">
        <v>304</v>
      </c>
      <c r="H34" s="6" t="s">
        <v>350</v>
      </c>
      <c r="I34" s="6" t="s">
        <v>223</v>
      </c>
      <c r="J34" s="18" t="s">
        <v>110</v>
      </c>
      <c r="K34" s="18" t="s">
        <v>307</v>
      </c>
    </row>
    <row r="35" customFormat="false" ht="23.85" hidden="false" customHeight="false" outlineLevel="0" collapsed="false">
      <c r="A35" s="8" t="s">
        <v>220</v>
      </c>
      <c r="B35" s="8" t="s">
        <v>301</v>
      </c>
      <c r="C35" s="8" t="s">
        <v>302</v>
      </c>
      <c r="D35" s="8" t="s">
        <v>349</v>
      </c>
      <c r="E35" s="17" t="n">
        <v>5</v>
      </c>
      <c r="F35" s="17" t="n">
        <v>13</v>
      </c>
      <c r="G35" s="8" t="s">
        <v>304</v>
      </c>
      <c r="H35" s="6" t="s">
        <v>351</v>
      </c>
      <c r="I35" s="6" t="s">
        <v>223</v>
      </c>
      <c r="J35" s="18" t="s">
        <v>110</v>
      </c>
      <c r="K35" s="18" t="s">
        <v>307</v>
      </c>
    </row>
    <row r="36" customFormat="false" ht="23.85" hidden="false" customHeight="false" outlineLevel="0" collapsed="false">
      <c r="A36" s="8" t="s">
        <v>220</v>
      </c>
      <c r="B36" s="8" t="s">
        <v>339</v>
      </c>
      <c r="C36" s="8" t="s">
        <v>314</v>
      </c>
      <c r="D36" s="8" t="s">
        <v>336</v>
      </c>
      <c r="E36" s="17" t="n">
        <v>0</v>
      </c>
      <c r="F36" s="17" t="n">
        <v>13</v>
      </c>
      <c r="G36" s="8" t="s">
        <v>352</v>
      </c>
      <c r="H36" s="6" t="s">
        <v>353</v>
      </c>
      <c r="I36" s="6" t="s">
        <v>223</v>
      </c>
      <c r="J36" s="18" t="s">
        <v>110</v>
      </c>
      <c r="K36" s="18" t="s">
        <v>307</v>
      </c>
    </row>
    <row r="37" customFormat="false" ht="15" hidden="false" customHeight="false" outlineLevel="0" collapsed="false">
      <c r="A37" s="8" t="s">
        <v>220</v>
      </c>
      <c r="B37" s="8" t="s">
        <v>301</v>
      </c>
      <c r="C37" s="8" t="s">
        <v>314</v>
      </c>
      <c r="D37" s="8" t="s">
        <v>336</v>
      </c>
      <c r="E37" s="17" t="n">
        <v>0</v>
      </c>
      <c r="F37" s="17" t="n">
        <v>0</v>
      </c>
      <c r="G37" s="8" t="s">
        <v>304</v>
      </c>
      <c r="H37" s="6" t="s">
        <v>354</v>
      </c>
      <c r="I37" s="6" t="s">
        <v>223</v>
      </c>
      <c r="J37" s="18" t="s">
        <v>110</v>
      </c>
      <c r="K37" s="18" t="s">
        <v>307</v>
      </c>
    </row>
    <row r="38" customFormat="false" ht="15" hidden="false" customHeight="false" outlineLevel="0" collapsed="false">
      <c r="A38" s="8" t="s">
        <v>220</v>
      </c>
      <c r="B38" s="8" t="s">
        <v>339</v>
      </c>
      <c r="C38" s="8" t="s">
        <v>314</v>
      </c>
      <c r="D38" s="8" t="s">
        <v>315</v>
      </c>
      <c r="E38" s="17" t="n">
        <v>0</v>
      </c>
      <c r="F38" s="17" t="n">
        <v>13</v>
      </c>
      <c r="G38" s="8" t="s">
        <v>304</v>
      </c>
      <c r="H38" s="6" t="s">
        <v>355</v>
      </c>
      <c r="I38" s="6" t="s">
        <v>223</v>
      </c>
      <c r="J38" s="18" t="s">
        <v>110</v>
      </c>
      <c r="K38" s="18" t="s">
        <v>307</v>
      </c>
    </row>
    <row r="39" customFormat="false" ht="15" hidden="false" customHeight="false" outlineLevel="0" collapsed="false">
      <c r="A39" s="8" t="s">
        <v>220</v>
      </c>
      <c r="B39" s="8" t="s">
        <v>339</v>
      </c>
      <c r="C39" s="8" t="s">
        <v>314</v>
      </c>
      <c r="D39" s="8" t="s">
        <v>308</v>
      </c>
      <c r="E39" s="17" t="n">
        <v>0</v>
      </c>
      <c r="F39" s="17" t="n">
        <v>13</v>
      </c>
      <c r="G39" s="8" t="s">
        <v>304</v>
      </c>
      <c r="H39" s="6" t="s">
        <v>356</v>
      </c>
      <c r="I39" s="6" t="s">
        <v>223</v>
      </c>
      <c r="J39" s="18" t="s">
        <v>110</v>
      </c>
      <c r="K39" s="18" t="s">
        <v>307</v>
      </c>
    </row>
    <row r="40" customFormat="false" ht="15" hidden="false" customHeight="false" outlineLevel="0" collapsed="false">
      <c r="A40" s="8" t="s">
        <v>220</v>
      </c>
      <c r="B40" s="8" t="s">
        <v>339</v>
      </c>
      <c r="C40" s="8" t="s">
        <v>314</v>
      </c>
      <c r="D40" s="8" t="s">
        <v>310</v>
      </c>
      <c r="E40" s="17" t="n">
        <v>0</v>
      </c>
      <c r="F40" s="17" t="n">
        <v>13</v>
      </c>
      <c r="G40" s="8" t="s">
        <v>304</v>
      </c>
      <c r="H40" s="6" t="s">
        <v>357</v>
      </c>
      <c r="I40" s="6" t="s">
        <v>223</v>
      </c>
      <c r="J40" s="18" t="s">
        <v>110</v>
      </c>
      <c r="K40" s="18" t="s">
        <v>307</v>
      </c>
    </row>
    <row r="41" customFormat="false" ht="15" hidden="false" customHeight="false" outlineLevel="0" collapsed="false">
      <c r="A41" s="8" t="s">
        <v>220</v>
      </c>
      <c r="B41" s="8" t="s">
        <v>339</v>
      </c>
      <c r="C41" s="8" t="s">
        <v>314</v>
      </c>
      <c r="D41" s="8" t="s">
        <v>316</v>
      </c>
      <c r="E41" s="17" t="n">
        <v>0</v>
      </c>
      <c r="F41" s="17" t="n">
        <v>13</v>
      </c>
      <c r="G41" s="8" t="s">
        <v>304</v>
      </c>
      <c r="H41" s="6" t="s">
        <v>358</v>
      </c>
      <c r="I41" s="6" t="s">
        <v>223</v>
      </c>
      <c r="J41" s="18" t="s">
        <v>110</v>
      </c>
      <c r="K41" s="18" t="s">
        <v>307</v>
      </c>
    </row>
    <row r="42" customFormat="false" ht="15" hidden="false" customHeight="false" outlineLevel="0" collapsed="false">
      <c r="A42" s="8" t="s">
        <v>220</v>
      </c>
      <c r="B42" s="8" t="s">
        <v>339</v>
      </c>
      <c r="C42" s="8" t="s">
        <v>314</v>
      </c>
      <c r="D42" s="8" t="s">
        <v>317</v>
      </c>
      <c r="E42" s="17" t="n">
        <v>0</v>
      </c>
      <c r="F42" s="17" t="n">
        <v>13</v>
      </c>
      <c r="G42" s="8" t="s">
        <v>304</v>
      </c>
      <c r="H42" s="6" t="s">
        <v>359</v>
      </c>
      <c r="I42" s="6" t="s">
        <v>223</v>
      </c>
      <c r="J42" s="18" t="s">
        <v>110</v>
      </c>
      <c r="K42" s="18" t="s">
        <v>307</v>
      </c>
    </row>
    <row r="43" customFormat="false" ht="15" hidden="false" customHeight="false" outlineLevel="0" collapsed="false">
      <c r="A43" s="8" t="s">
        <v>220</v>
      </c>
      <c r="B43" s="8" t="s">
        <v>339</v>
      </c>
      <c r="C43" s="8" t="s">
        <v>314</v>
      </c>
      <c r="D43" s="8" t="s">
        <v>312</v>
      </c>
      <c r="E43" s="17" t="n">
        <v>0</v>
      </c>
      <c r="F43" s="17" t="n">
        <v>13</v>
      </c>
      <c r="G43" s="8" t="s">
        <v>304</v>
      </c>
      <c r="H43" s="6" t="s">
        <v>360</v>
      </c>
      <c r="I43" s="6" t="s">
        <v>223</v>
      </c>
      <c r="J43" s="18" t="s">
        <v>110</v>
      </c>
      <c r="K43" s="18" t="s">
        <v>307</v>
      </c>
    </row>
    <row r="44" customFormat="false" ht="15" hidden="false" customHeight="false" outlineLevel="0" collapsed="false">
      <c r="A44" s="8" t="s">
        <v>220</v>
      </c>
      <c r="B44" s="8" t="s">
        <v>339</v>
      </c>
      <c r="C44" s="8" t="s">
        <v>314</v>
      </c>
      <c r="D44" s="8" t="s">
        <v>319</v>
      </c>
      <c r="E44" s="17" t="n">
        <v>0</v>
      </c>
      <c r="F44" s="17" t="n">
        <v>13</v>
      </c>
      <c r="G44" s="8" t="s">
        <v>304</v>
      </c>
      <c r="H44" s="6" t="s">
        <v>361</v>
      </c>
      <c r="I44" s="6" t="s">
        <v>223</v>
      </c>
      <c r="J44" s="18" t="s">
        <v>110</v>
      </c>
      <c r="K44" s="18" t="s">
        <v>307</v>
      </c>
    </row>
    <row r="45" customFormat="false" ht="15" hidden="false" customHeight="false" outlineLevel="0" collapsed="false">
      <c r="A45" s="8" t="s">
        <v>220</v>
      </c>
      <c r="B45" s="8" t="s">
        <v>339</v>
      </c>
      <c r="C45" s="8" t="s">
        <v>314</v>
      </c>
      <c r="D45" s="8" t="s">
        <v>323</v>
      </c>
      <c r="E45" s="17" t="n">
        <v>0</v>
      </c>
      <c r="F45" s="17" t="n">
        <v>13</v>
      </c>
      <c r="G45" s="8" t="s">
        <v>304</v>
      </c>
      <c r="H45" s="6" t="s">
        <v>362</v>
      </c>
      <c r="I45" s="6" t="s">
        <v>223</v>
      </c>
      <c r="J45" s="18" t="s">
        <v>110</v>
      </c>
      <c r="K45" s="18" t="s">
        <v>307</v>
      </c>
    </row>
    <row r="46" customFormat="false" ht="23.85" hidden="false" customHeight="false" outlineLevel="0" collapsed="false">
      <c r="A46" s="8" t="s">
        <v>220</v>
      </c>
      <c r="B46" s="8" t="s">
        <v>339</v>
      </c>
      <c r="C46" s="8" t="s">
        <v>302</v>
      </c>
      <c r="D46" s="8" t="s">
        <v>329</v>
      </c>
      <c r="E46" s="17" t="n">
        <v>9</v>
      </c>
      <c r="F46" s="17" t="n">
        <v>13</v>
      </c>
      <c r="G46" s="8" t="s">
        <v>304</v>
      </c>
      <c r="H46" s="6" t="s">
        <v>363</v>
      </c>
      <c r="I46" s="6" t="s">
        <v>223</v>
      </c>
      <c r="J46" s="18" t="s">
        <v>110</v>
      </c>
      <c r="K46" s="18" t="s">
        <v>307</v>
      </c>
    </row>
    <row r="47" customFormat="false" ht="23.85" hidden="false" customHeight="false" outlineLevel="0" collapsed="false">
      <c r="A47" s="8" t="s">
        <v>212</v>
      </c>
      <c r="B47" s="8" t="s">
        <v>348</v>
      </c>
      <c r="C47" s="8" t="s">
        <v>314</v>
      </c>
      <c r="D47" s="8" t="s">
        <v>349</v>
      </c>
      <c r="E47" s="17" t="n">
        <v>0</v>
      </c>
      <c r="F47" s="17" t="n">
        <v>9</v>
      </c>
      <c r="G47" s="8" t="s">
        <v>304</v>
      </c>
      <c r="H47" s="6" t="s">
        <v>364</v>
      </c>
      <c r="I47" s="6" t="s">
        <v>215</v>
      </c>
      <c r="J47" s="18" t="s">
        <v>110</v>
      </c>
      <c r="K47" s="18" t="s">
        <v>307</v>
      </c>
    </row>
    <row r="48" customFormat="false" ht="15" hidden="false" customHeight="false" outlineLevel="0" collapsed="false">
      <c r="A48" s="8" t="s">
        <v>212</v>
      </c>
      <c r="B48" s="8" t="s">
        <v>339</v>
      </c>
      <c r="C48" s="8" t="s">
        <v>314</v>
      </c>
      <c r="D48" s="8" t="s">
        <v>316</v>
      </c>
      <c r="E48" s="17" t="n">
        <v>0</v>
      </c>
      <c r="F48" s="17" t="n">
        <v>9</v>
      </c>
      <c r="G48" s="8" t="s">
        <v>304</v>
      </c>
      <c r="H48" s="6" t="s">
        <v>365</v>
      </c>
      <c r="I48" s="6" t="s">
        <v>215</v>
      </c>
      <c r="J48" s="18" t="s">
        <v>110</v>
      </c>
      <c r="K48" s="18" t="s">
        <v>307</v>
      </c>
    </row>
    <row r="49" customFormat="false" ht="15" hidden="false" customHeight="false" outlineLevel="0" collapsed="false">
      <c r="A49" s="8" t="s">
        <v>212</v>
      </c>
      <c r="B49" s="8" t="s">
        <v>339</v>
      </c>
      <c r="C49" s="8" t="s">
        <v>314</v>
      </c>
      <c r="D49" s="8" t="s">
        <v>312</v>
      </c>
      <c r="E49" s="17" t="n">
        <v>0</v>
      </c>
      <c r="F49" s="17" t="n">
        <v>9</v>
      </c>
      <c r="G49" s="8" t="s">
        <v>304</v>
      </c>
      <c r="H49" s="6" t="s">
        <v>360</v>
      </c>
      <c r="I49" s="6" t="s">
        <v>215</v>
      </c>
      <c r="J49" s="18" t="s">
        <v>110</v>
      </c>
      <c r="K49" s="18" t="s">
        <v>307</v>
      </c>
    </row>
    <row r="50" customFormat="false" ht="23.85" hidden="false" customHeight="false" outlineLevel="0" collapsed="false">
      <c r="A50" s="8" t="s">
        <v>212</v>
      </c>
      <c r="B50" s="8" t="s">
        <v>339</v>
      </c>
      <c r="C50" s="8" t="s">
        <v>314</v>
      </c>
      <c r="D50" s="8" t="s">
        <v>319</v>
      </c>
      <c r="E50" s="17" t="n">
        <v>0</v>
      </c>
      <c r="F50" s="17" t="n">
        <v>9</v>
      </c>
      <c r="G50" s="8" t="s">
        <v>304</v>
      </c>
      <c r="H50" s="6" t="s">
        <v>366</v>
      </c>
      <c r="I50" s="6" t="s">
        <v>215</v>
      </c>
      <c r="J50" s="18" t="s">
        <v>110</v>
      </c>
      <c r="K50" s="18" t="s">
        <v>307</v>
      </c>
    </row>
    <row r="51" customFormat="false" ht="23.85" hidden="false" customHeight="false" outlineLevel="0" collapsed="false">
      <c r="A51" s="8" t="s">
        <v>212</v>
      </c>
      <c r="B51" s="8" t="s">
        <v>339</v>
      </c>
      <c r="C51" s="8" t="s">
        <v>314</v>
      </c>
      <c r="D51" s="8" t="s">
        <v>323</v>
      </c>
      <c r="E51" s="17" t="n">
        <v>0</v>
      </c>
      <c r="F51" s="17" t="n">
        <v>9</v>
      </c>
      <c r="G51" s="8" t="s">
        <v>304</v>
      </c>
      <c r="H51" s="6" t="s">
        <v>367</v>
      </c>
      <c r="I51" s="6" t="s">
        <v>215</v>
      </c>
      <c r="J51" s="18" t="s">
        <v>110</v>
      </c>
      <c r="K51" s="18" t="s">
        <v>307</v>
      </c>
    </row>
    <row r="52" customFormat="false" ht="15" hidden="false" customHeight="false" outlineLevel="0" collapsed="false">
      <c r="A52" s="8" t="s">
        <v>212</v>
      </c>
      <c r="B52" s="8" t="s">
        <v>339</v>
      </c>
      <c r="C52" s="8" t="s">
        <v>302</v>
      </c>
      <c r="D52" s="8" t="s">
        <v>310</v>
      </c>
      <c r="E52" s="17" t="n">
        <v>6</v>
      </c>
      <c r="F52" s="17" t="n">
        <v>9</v>
      </c>
      <c r="G52" s="8" t="s">
        <v>304</v>
      </c>
      <c r="H52" s="6" t="s">
        <v>368</v>
      </c>
      <c r="I52" s="6" t="s">
        <v>215</v>
      </c>
      <c r="J52" s="18" t="s">
        <v>110</v>
      </c>
      <c r="K52" s="18" t="s">
        <v>307</v>
      </c>
    </row>
    <row r="53" customFormat="false" ht="35.05" hidden="false" customHeight="false" outlineLevel="0" collapsed="false">
      <c r="A53" s="8" t="s">
        <v>212</v>
      </c>
      <c r="B53" s="8" t="s">
        <v>301</v>
      </c>
      <c r="C53" s="8" t="s">
        <v>302</v>
      </c>
      <c r="D53" s="8" t="s">
        <v>336</v>
      </c>
      <c r="E53" s="17" t="n">
        <v>16</v>
      </c>
      <c r="F53" s="17" t="n">
        <v>16</v>
      </c>
      <c r="G53" s="8" t="s">
        <v>304</v>
      </c>
      <c r="H53" s="6" t="s">
        <v>369</v>
      </c>
      <c r="I53" s="6" t="s">
        <v>215</v>
      </c>
      <c r="J53" s="18" t="s">
        <v>110</v>
      </c>
      <c r="K53" s="18" t="s">
        <v>307</v>
      </c>
    </row>
    <row r="54" customFormat="false" ht="15" hidden="false" customHeight="false" outlineLevel="0" collapsed="false">
      <c r="A54" s="8" t="s">
        <v>245</v>
      </c>
      <c r="B54" s="8" t="s">
        <v>339</v>
      </c>
      <c r="C54" s="8" t="s">
        <v>302</v>
      </c>
      <c r="D54" s="8" t="s">
        <v>370</v>
      </c>
      <c r="E54" s="17" t="n">
        <v>10</v>
      </c>
      <c r="F54" s="17" t="n">
        <v>15</v>
      </c>
      <c r="G54" s="8" t="s">
        <v>304</v>
      </c>
      <c r="H54" s="6" t="s">
        <v>371</v>
      </c>
      <c r="I54" s="6" t="s">
        <v>248</v>
      </c>
      <c r="J54" s="18" t="s">
        <v>110</v>
      </c>
      <c r="K54" s="18" t="s">
        <v>307</v>
      </c>
    </row>
    <row r="55" customFormat="false" ht="15" hidden="false" customHeight="false" outlineLevel="0" collapsed="false">
      <c r="A55" s="8" t="s">
        <v>245</v>
      </c>
      <c r="B55" s="8" t="s">
        <v>339</v>
      </c>
      <c r="C55" s="8" t="s">
        <v>302</v>
      </c>
      <c r="D55" s="8" t="s">
        <v>312</v>
      </c>
      <c r="E55" s="17" t="n">
        <v>10</v>
      </c>
      <c r="F55" s="17" t="n">
        <v>15</v>
      </c>
      <c r="G55" s="8" t="s">
        <v>304</v>
      </c>
      <c r="H55" s="6" t="s">
        <v>360</v>
      </c>
      <c r="I55" s="6" t="s">
        <v>248</v>
      </c>
      <c r="J55" s="18" t="s">
        <v>110</v>
      </c>
      <c r="K55" s="18" t="s">
        <v>307</v>
      </c>
    </row>
    <row r="56" customFormat="false" ht="15" hidden="false" customHeight="false" outlineLevel="0" collapsed="false">
      <c r="A56" s="8" t="s">
        <v>245</v>
      </c>
      <c r="B56" s="8" t="s">
        <v>339</v>
      </c>
      <c r="C56" s="8" t="s">
        <v>302</v>
      </c>
      <c r="D56" s="8" t="s">
        <v>319</v>
      </c>
      <c r="E56" s="17" t="n">
        <v>10</v>
      </c>
      <c r="F56" s="17" t="n">
        <v>15</v>
      </c>
      <c r="G56" s="8" t="s">
        <v>304</v>
      </c>
      <c r="H56" s="6" t="s">
        <v>372</v>
      </c>
      <c r="I56" s="6" t="s">
        <v>248</v>
      </c>
      <c r="J56" s="18" t="s">
        <v>110</v>
      </c>
      <c r="K56" s="18" t="s">
        <v>307</v>
      </c>
    </row>
    <row r="57" customFormat="false" ht="15" hidden="false" customHeight="false" outlineLevel="0" collapsed="false">
      <c r="A57" s="8" t="s">
        <v>245</v>
      </c>
      <c r="B57" s="8" t="s">
        <v>339</v>
      </c>
      <c r="C57" s="8" t="s">
        <v>302</v>
      </c>
      <c r="D57" s="8" t="s">
        <v>315</v>
      </c>
      <c r="E57" s="17" t="n">
        <v>8</v>
      </c>
      <c r="F57" s="17" t="n">
        <v>15</v>
      </c>
      <c r="G57" s="8" t="s">
        <v>304</v>
      </c>
      <c r="H57" s="6" t="s">
        <v>373</v>
      </c>
      <c r="I57" s="6" t="s">
        <v>248</v>
      </c>
      <c r="J57" s="18" t="s">
        <v>110</v>
      </c>
      <c r="K57" s="18" t="s">
        <v>307</v>
      </c>
    </row>
    <row r="58" customFormat="false" ht="15" hidden="false" customHeight="false" outlineLevel="0" collapsed="false">
      <c r="A58" s="8" t="s">
        <v>245</v>
      </c>
      <c r="B58" s="8" t="s">
        <v>339</v>
      </c>
      <c r="C58" s="8" t="s">
        <v>314</v>
      </c>
      <c r="D58" s="8" t="s">
        <v>315</v>
      </c>
      <c r="E58" s="17" t="n">
        <v>0</v>
      </c>
      <c r="F58" s="17" t="n">
        <v>15</v>
      </c>
      <c r="G58" s="8" t="s">
        <v>304</v>
      </c>
      <c r="H58" s="6" t="s">
        <v>374</v>
      </c>
      <c r="I58" s="6" t="s">
        <v>248</v>
      </c>
      <c r="J58" s="18" t="s">
        <v>110</v>
      </c>
      <c r="K58" s="18" t="s">
        <v>307</v>
      </c>
    </row>
    <row r="59" customFormat="false" ht="35.05" hidden="false" customHeight="false" outlineLevel="0" collapsed="false">
      <c r="A59" s="8" t="s">
        <v>245</v>
      </c>
      <c r="B59" s="8" t="s">
        <v>339</v>
      </c>
      <c r="C59" s="8" t="s">
        <v>314</v>
      </c>
      <c r="D59" s="8" t="s">
        <v>323</v>
      </c>
      <c r="E59" s="17" t="n">
        <v>0</v>
      </c>
      <c r="F59" s="17" t="n">
        <v>15</v>
      </c>
      <c r="G59" s="8" t="s">
        <v>304</v>
      </c>
      <c r="H59" s="6" t="s">
        <v>375</v>
      </c>
      <c r="I59" s="6" t="s">
        <v>248</v>
      </c>
      <c r="J59" s="18" t="s">
        <v>110</v>
      </c>
      <c r="K59" s="18" t="s">
        <v>307</v>
      </c>
    </row>
    <row r="60" customFormat="false" ht="15" hidden="false" customHeight="false" outlineLevel="0" collapsed="false">
      <c r="A60" s="8" t="s">
        <v>245</v>
      </c>
      <c r="B60" s="8" t="s">
        <v>339</v>
      </c>
      <c r="C60" s="8" t="s">
        <v>302</v>
      </c>
      <c r="D60" s="8" t="s">
        <v>336</v>
      </c>
      <c r="E60" s="17" t="n">
        <v>5</v>
      </c>
      <c r="F60" s="17" t="n">
        <v>15</v>
      </c>
      <c r="G60" s="8" t="s">
        <v>304</v>
      </c>
      <c r="H60" s="6" t="s">
        <v>376</v>
      </c>
      <c r="I60" s="6" t="s">
        <v>248</v>
      </c>
      <c r="J60" s="18" t="s">
        <v>110</v>
      </c>
      <c r="K60" s="18" t="s">
        <v>307</v>
      </c>
    </row>
    <row r="61" customFormat="false" ht="15" hidden="false" customHeight="false" outlineLevel="0" collapsed="false">
      <c r="A61" s="8" t="s">
        <v>245</v>
      </c>
      <c r="B61" s="8" t="s">
        <v>339</v>
      </c>
      <c r="C61" s="8" t="s">
        <v>325</v>
      </c>
      <c r="D61" s="8" t="s">
        <v>336</v>
      </c>
      <c r="E61" s="17" t="n">
        <v>40</v>
      </c>
      <c r="F61" s="17" t="n">
        <v>15</v>
      </c>
      <c r="G61" s="8" t="s">
        <v>327</v>
      </c>
      <c r="H61" s="6" t="s">
        <v>377</v>
      </c>
      <c r="I61" s="6" t="s">
        <v>248</v>
      </c>
      <c r="J61" s="18" t="s">
        <v>110</v>
      </c>
      <c r="K61" s="18" t="s">
        <v>307</v>
      </c>
    </row>
    <row r="62" customFormat="false" ht="23.85" hidden="false" customHeight="false" outlineLevel="0" collapsed="false">
      <c r="A62" s="8" t="s">
        <v>255</v>
      </c>
      <c r="B62" s="8" t="s">
        <v>348</v>
      </c>
      <c r="C62" s="8" t="s">
        <v>314</v>
      </c>
      <c r="D62" s="8" t="s">
        <v>349</v>
      </c>
      <c r="E62" s="17" t="n">
        <v>0</v>
      </c>
      <c r="F62" s="17" t="n">
        <v>9</v>
      </c>
      <c r="G62" s="8" t="s">
        <v>304</v>
      </c>
      <c r="H62" s="6" t="s">
        <v>378</v>
      </c>
      <c r="I62" s="6" t="s">
        <v>258</v>
      </c>
      <c r="J62" s="18" t="s">
        <v>110</v>
      </c>
      <c r="K62" s="18" t="s">
        <v>307</v>
      </c>
    </row>
    <row r="63" customFormat="false" ht="15" hidden="false" customHeight="false" outlineLevel="0" collapsed="false">
      <c r="A63" s="8" t="s">
        <v>255</v>
      </c>
      <c r="B63" s="8" t="s">
        <v>348</v>
      </c>
      <c r="C63" s="8" t="s">
        <v>314</v>
      </c>
      <c r="D63" s="8" t="s">
        <v>310</v>
      </c>
      <c r="E63" s="17" t="n">
        <v>0</v>
      </c>
      <c r="F63" s="17" t="n">
        <v>9</v>
      </c>
      <c r="G63" s="8" t="s">
        <v>304</v>
      </c>
      <c r="H63" s="6" t="s">
        <v>379</v>
      </c>
      <c r="I63" s="6" t="s">
        <v>258</v>
      </c>
      <c r="J63" s="18" t="s">
        <v>110</v>
      </c>
      <c r="K63" s="18" t="s">
        <v>307</v>
      </c>
    </row>
    <row r="64" customFormat="false" ht="15" hidden="false" customHeight="false" outlineLevel="0" collapsed="false">
      <c r="A64" s="8" t="s">
        <v>255</v>
      </c>
      <c r="B64" s="8" t="s">
        <v>348</v>
      </c>
      <c r="C64" s="8" t="s">
        <v>314</v>
      </c>
      <c r="D64" s="8" t="s">
        <v>316</v>
      </c>
      <c r="E64" s="17" t="n">
        <v>0</v>
      </c>
      <c r="F64" s="17" t="n">
        <v>9</v>
      </c>
      <c r="G64" s="8" t="s">
        <v>304</v>
      </c>
      <c r="H64" s="6" t="s">
        <v>380</v>
      </c>
      <c r="I64" s="6" t="s">
        <v>258</v>
      </c>
      <c r="J64" s="18" t="s">
        <v>110</v>
      </c>
      <c r="K64" s="18" t="s">
        <v>307</v>
      </c>
    </row>
    <row r="65" customFormat="false" ht="15" hidden="false" customHeight="false" outlineLevel="0" collapsed="false">
      <c r="A65" s="8" t="s">
        <v>255</v>
      </c>
      <c r="B65" s="8" t="s">
        <v>348</v>
      </c>
      <c r="C65" s="8" t="s">
        <v>314</v>
      </c>
      <c r="D65" s="8" t="s">
        <v>312</v>
      </c>
      <c r="E65" s="17" t="n">
        <v>0</v>
      </c>
      <c r="F65" s="17" t="n">
        <v>9</v>
      </c>
      <c r="G65" s="8" t="s">
        <v>304</v>
      </c>
      <c r="H65" s="6" t="s">
        <v>381</v>
      </c>
      <c r="I65" s="6" t="s">
        <v>258</v>
      </c>
      <c r="J65" s="18" t="s">
        <v>110</v>
      </c>
      <c r="K65" s="18" t="s">
        <v>307</v>
      </c>
    </row>
    <row r="66" customFormat="false" ht="23.85" hidden="false" customHeight="false" outlineLevel="0" collapsed="false">
      <c r="A66" s="8" t="s">
        <v>255</v>
      </c>
      <c r="B66" s="8" t="s">
        <v>301</v>
      </c>
      <c r="C66" s="8" t="s">
        <v>302</v>
      </c>
      <c r="D66" s="8" t="s">
        <v>329</v>
      </c>
      <c r="E66" s="17" t="n">
        <v>5</v>
      </c>
      <c r="F66" s="17" t="n">
        <v>12</v>
      </c>
      <c r="G66" s="8" t="s">
        <v>304</v>
      </c>
      <c r="H66" s="6" t="s">
        <v>382</v>
      </c>
      <c r="I66" s="6" t="s">
        <v>258</v>
      </c>
      <c r="J66" s="18" t="s">
        <v>110</v>
      </c>
      <c r="K66" s="18" t="s">
        <v>307</v>
      </c>
    </row>
    <row r="67" customFormat="false" ht="15" hidden="false" customHeight="false" outlineLevel="0" collapsed="false">
      <c r="A67" s="8" t="s">
        <v>255</v>
      </c>
      <c r="B67" s="8" t="s">
        <v>301</v>
      </c>
      <c r="C67" s="8" t="s">
        <v>302</v>
      </c>
      <c r="D67" s="8" t="s">
        <v>310</v>
      </c>
      <c r="E67" s="17" t="n">
        <v>5</v>
      </c>
      <c r="F67" s="17" t="n">
        <v>12</v>
      </c>
      <c r="G67" s="8" t="s">
        <v>304</v>
      </c>
      <c r="H67" s="6" t="s">
        <v>383</v>
      </c>
      <c r="I67" s="6" t="s">
        <v>258</v>
      </c>
      <c r="J67" s="18" t="s">
        <v>110</v>
      </c>
      <c r="K67" s="18" t="s">
        <v>307</v>
      </c>
    </row>
    <row r="68" customFormat="false" ht="23.85" hidden="false" customHeight="false" outlineLevel="0" collapsed="false">
      <c r="A68" s="8" t="s">
        <v>105</v>
      </c>
      <c r="B68" s="8" t="s">
        <v>348</v>
      </c>
      <c r="C68" s="8" t="s">
        <v>314</v>
      </c>
      <c r="D68" s="8" t="s">
        <v>336</v>
      </c>
      <c r="E68" s="17" t="n">
        <v>0</v>
      </c>
      <c r="F68" s="17" t="n">
        <v>0</v>
      </c>
      <c r="G68" s="8" t="s">
        <v>304</v>
      </c>
      <c r="H68" s="6" t="s">
        <v>384</v>
      </c>
      <c r="I68" s="6" t="s">
        <v>108</v>
      </c>
      <c r="J68" s="18" t="s">
        <v>110</v>
      </c>
      <c r="K68" s="18" t="s">
        <v>307</v>
      </c>
    </row>
    <row r="69" customFormat="false" ht="23.85" hidden="false" customHeight="false" outlineLevel="0" collapsed="false">
      <c r="A69" s="8" t="s">
        <v>105</v>
      </c>
      <c r="B69" s="8" t="s">
        <v>301</v>
      </c>
      <c r="C69" s="8" t="s">
        <v>302</v>
      </c>
      <c r="D69" s="8" t="s">
        <v>336</v>
      </c>
      <c r="E69" s="17"/>
      <c r="F69" s="17"/>
      <c r="G69" s="8" t="s">
        <v>304</v>
      </c>
      <c r="H69" s="6" t="s">
        <v>385</v>
      </c>
      <c r="I69" s="6" t="s">
        <v>108</v>
      </c>
      <c r="J69" s="18" t="s">
        <v>110</v>
      </c>
      <c r="K69" s="18" t="s">
        <v>307</v>
      </c>
    </row>
    <row r="71" customFormat="false" ht="15" hidden="false" customHeight="false" outlineLevel="0" collapsed="false">
      <c r="A71" s="3" t="s">
        <v>386</v>
      </c>
    </row>
    <row r="72" customFormat="false" ht="15" hidden="false" customHeight="false" outlineLevel="0" collapsed="false">
      <c r="A72" s="2" t="s">
        <v>387</v>
      </c>
    </row>
    <row r="73" customFormat="false" ht="15" hidden="false" customHeight="false" outlineLevel="0" collapsed="false">
      <c r="A73" s="2" t="s">
        <v>388</v>
      </c>
    </row>
  </sheetData>
  <autoFilter ref="A1:K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60"/>
    <col collapsed="false" customWidth="true" hidden="false" outlineLevel="0" max="8" min="7" style="0" width="5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3"/>
  </cols>
  <sheetData>
    <row r="1" customFormat="false" ht="15" hidden="false" customHeight="false" outlineLevel="0" collapsed="false">
      <c r="A1" s="4" t="s">
        <v>290</v>
      </c>
      <c r="B1" s="4" t="s">
        <v>389</v>
      </c>
      <c r="C1" s="4" t="s">
        <v>291</v>
      </c>
      <c r="D1" s="4" t="s">
        <v>390</v>
      </c>
      <c r="E1" s="4" t="s">
        <v>391</v>
      </c>
      <c r="F1" s="4" t="s">
        <v>392</v>
      </c>
      <c r="G1" s="4" t="s">
        <v>393</v>
      </c>
      <c r="H1" s="4" t="s">
        <v>394</v>
      </c>
      <c r="I1" s="4" t="s">
        <v>73</v>
      </c>
      <c r="J1" s="4" t="s">
        <v>395</v>
      </c>
      <c r="K1" s="4" t="s">
        <v>299</v>
      </c>
      <c r="L1" s="4" t="s">
        <v>300</v>
      </c>
    </row>
    <row r="2" customFormat="false" ht="35.05" hidden="false" customHeight="false" outlineLevel="0" collapsed="false">
      <c r="A2" s="8" t="s">
        <v>229</v>
      </c>
      <c r="B2" s="6" t="s">
        <v>396</v>
      </c>
      <c r="C2" s="8" t="s">
        <v>301</v>
      </c>
      <c r="D2" s="8" t="s">
        <v>397</v>
      </c>
      <c r="E2" s="8" t="s">
        <v>398</v>
      </c>
      <c r="F2" s="6" t="s">
        <v>399</v>
      </c>
      <c r="G2" s="6" t="s">
        <v>400</v>
      </c>
      <c r="H2" s="6" t="s">
        <v>401</v>
      </c>
      <c r="I2" s="8" t="s">
        <v>402</v>
      </c>
      <c r="J2" s="18" t="s">
        <v>403</v>
      </c>
      <c r="K2" s="18" t="s">
        <v>110</v>
      </c>
      <c r="L2" s="18" t="s">
        <v>307</v>
      </c>
    </row>
    <row r="3" customFormat="false" ht="35.05" hidden="false" customHeight="false" outlineLevel="0" collapsed="false">
      <c r="A3" s="8" t="s">
        <v>229</v>
      </c>
      <c r="B3" s="6" t="s">
        <v>404</v>
      </c>
      <c r="C3" s="8" t="s">
        <v>301</v>
      </c>
      <c r="D3" s="8" t="s">
        <v>405</v>
      </c>
      <c r="E3" s="8" t="s">
        <v>406</v>
      </c>
      <c r="F3" s="6" t="s">
        <v>407</v>
      </c>
      <c r="G3" s="6" t="s">
        <v>408</v>
      </c>
      <c r="H3" s="6" t="s">
        <v>409</v>
      </c>
      <c r="I3" s="8" t="s">
        <v>402</v>
      </c>
      <c r="J3" s="18" t="s">
        <v>403</v>
      </c>
      <c r="K3" s="18" t="s">
        <v>110</v>
      </c>
      <c r="L3" s="18" t="s">
        <v>307</v>
      </c>
    </row>
    <row r="4" customFormat="false" ht="23.85" hidden="false" customHeight="false" outlineLevel="0" collapsed="false">
      <c r="A4" s="8" t="s">
        <v>237</v>
      </c>
      <c r="B4" s="6" t="s">
        <v>410</v>
      </c>
      <c r="C4" s="8" t="s">
        <v>301</v>
      </c>
      <c r="D4" s="8" t="s">
        <v>411</v>
      </c>
      <c r="E4" s="8"/>
      <c r="F4" s="6" t="s">
        <v>412</v>
      </c>
      <c r="G4" s="6" t="s">
        <v>239</v>
      </c>
      <c r="H4" s="6"/>
      <c r="I4" s="9" t="s">
        <v>413</v>
      </c>
      <c r="J4" s="18" t="s">
        <v>403</v>
      </c>
      <c r="K4" s="18" t="s">
        <v>110</v>
      </c>
      <c r="L4" s="18" t="s">
        <v>307</v>
      </c>
    </row>
    <row r="5" customFormat="false" ht="23.85" hidden="false" customHeight="false" outlineLevel="0" collapsed="false">
      <c r="A5" s="8" t="s">
        <v>194</v>
      </c>
      <c r="B5" s="6" t="s">
        <v>414</v>
      </c>
      <c r="C5" s="8" t="s">
        <v>348</v>
      </c>
      <c r="D5" s="8"/>
      <c r="E5" s="8"/>
      <c r="F5" s="6" t="s">
        <v>415</v>
      </c>
      <c r="G5" s="6" t="s">
        <v>416</v>
      </c>
      <c r="H5" s="6" t="s">
        <v>417</v>
      </c>
      <c r="I5" s="9" t="s">
        <v>418</v>
      </c>
      <c r="J5" s="18" t="s">
        <v>403</v>
      </c>
      <c r="K5" s="18" t="s">
        <v>110</v>
      </c>
      <c r="L5" s="18" t="s">
        <v>307</v>
      </c>
    </row>
    <row r="6" customFormat="false" ht="23.85" hidden="false" customHeight="false" outlineLevel="0" collapsed="false">
      <c r="A6" s="8" t="s">
        <v>194</v>
      </c>
      <c r="B6" s="6" t="s">
        <v>419</v>
      </c>
      <c r="C6" s="8" t="s">
        <v>301</v>
      </c>
      <c r="D6" s="8" t="s">
        <v>420</v>
      </c>
      <c r="E6" s="8" t="s">
        <v>421</v>
      </c>
      <c r="F6" s="6"/>
      <c r="G6" s="6" t="s">
        <v>422</v>
      </c>
      <c r="H6" s="6"/>
      <c r="I6" s="9" t="s">
        <v>418</v>
      </c>
      <c r="J6" s="18" t="s">
        <v>403</v>
      </c>
      <c r="K6" s="18" t="s">
        <v>110</v>
      </c>
      <c r="L6" s="18" t="s">
        <v>307</v>
      </c>
    </row>
    <row r="7" customFormat="false" ht="23.85" hidden="false" customHeight="false" outlineLevel="0" collapsed="false">
      <c r="A7" s="8" t="s">
        <v>194</v>
      </c>
      <c r="B7" s="6" t="s">
        <v>423</v>
      </c>
      <c r="C7" s="8" t="s">
        <v>301</v>
      </c>
      <c r="D7" s="8" t="s">
        <v>424</v>
      </c>
      <c r="E7" s="8" t="s">
        <v>425</v>
      </c>
      <c r="F7" s="6"/>
      <c r="G7" s="6" t="s">
        <v>426</v>
      </c>
      <c r="H7" s="6"/>
      <c r="I7" s="9" t="s">
        <v>418</v>
      </c>
      <c r="J7" s="18" t="s">
        <v>403</v>
      </c>
      <c r="K7" s="18" t="s">
        <v>110</v>
      </c>
      <c r="L7" s="18" t="s">
        <v>307</v>
      </c>
    </row>
    <row r="8" customFormat="false" ht="35.05" hidden="false" customHeight="false" outlineLevel="0" collapsed="false">
      <c r="A8" s="8" t="s">
        <v>194</v>
      </c>
      <c r="B8" s="6" t="s">
        <v>427</v>
      </c>
      <c r="C8" s="8" t="s">
        <v>301</v>
      </c>
      <c r="D8" s="8" t="s">
        <v>428</v>
      </c>
      <c r="E8" s="8" t="s">
        <v>429</v>
      </c>
      <c r="F8" s="6" t="s">
        <v>430</v>
      </c>
      <c r="G8" s="6" t="s">
        <v>431</v>
      </c>
      <c r="H8" s="6"/>
      <c r="I8" s="9" t="s">
        <v>413</v>
      </c>
      <c r="J8" s="18" t="s">
        <v>403</v>
      </c>
      <c r="K8" s="18" t="s">
        <v>110</v>
      </c>
      <c r="L8" s="18" t="s">
        <v>307</v>
      </c>
    </row>
    <row r="9" customFormat="false" ht="35.05" hidden="false" customHeight="false" outlineLevel="0" collapsed="false">
      <c r="A9" s="8" t="s">
        <v>194</v>
      </c>
      <c r="B9" s="6" t="s">
        <v>432</v>
      </c>
      <c r="C9" s="8" t="s">
        <v>301</v>
      </c>
      <c r="D9" s="8" t="s">
        <v>433</v>
      </c>
      <c r="E9" s="8" t="s">
        <v>434</v>
      </c>
      <c r="F9" s="6" t="s">
        <v>435</v>
      </c>
      <c r="G9" s="6" t="s">
        <v>436</v>
      </c>
      <c r="H9" s="6"/>
      <c r="I9" s="9" t="s">
        <v>413</v>
      </c>
      <c r="J9" s="18" t="s">
        <v>403</v>
      </c>
      <c r="K9" s="18" t="s">
        <v>110</v>
      </c>
      <c r="L9" s="18" t="s">
        <v>307</v>
      </c>
    </row>
    <row r="10" customFormat="false" ht="23.85" hidden="false" customHeight="false" outlineLevel="0" collapsed="false">
      <c r="A10" s="8" t="s">
        <v>194</v>
      </c>
      <c r="B10" s="6" t="s">
        <v>437</v>
      </c>
      <c r="C10" s="8" t="s">
        <v>301</v>
      </c>
      <c r="D10" s="8" t="s">
        <v>438</v>
      </c>
      <c r="E10" s="8"/>
      <c r="F10" s="6" t="s">
        <v>439</v>
      </c>
      <c r="G10" s="6" t="s">
        <v>440</v>
      </c>
      <c r="H10" s="6"/>
      <c r="I10" s="9" t="s">
        <v>413</v>
      </c>
      <c r="J10" s="18" t="s">
        <v>403</v>
      </c>
      <c r="K10" s="18" t="s">
        <v>110</v>
      </c>
      <c r="L10" s="18" t="s">
        <v>307</v>
      </c>
    </row>
    <row r="11" customFormat="false" ht="23.85" hidden="false" customHeight="false" outlineLevel="0" collapsed="false">
      <c r="A11" s="8" t="s">
        <v>194</v>
      </c>
      <c r="B11" s="6" t="s">
        <v>441</v>
      </c>
      <c r="C11" s="8" t="s">
        <v>301</v>
      </c>
      <c r="D11" s="8" t="s">
        <v>442</v>
      </c>
      <c r="E11" s="8"/>
      <c r="F11" s="6" t="s">
        <v>443</v>
      </c>
      <c r="G11" s="6" t="s">
        <v>444</v>
      </c>
      <c r="H11" s="6"/>
      <c r="I11" s="9" t="s">
        <v>413</v>
      </c>
      <c r="J11" s="18" t="s">
        <v>403</v>
      </c>
      <c r="K11" s="18" t="s">
        <v>110</v>
      </c>
      <c r="L11" s="18" t="s">
        <v>307</v>
      </c>
    </row>
    <row r="12" customFormat="false" ht="35.05" hidden="false" customHeight="false" outlineLevel="0" collapsed="false">
      <c r="A12" s="8" t="s">
        <v>194</v>
      </c>
      <c r="B12" s="6" t="s">
        <v>445</v>
      </c>
      <c r="C12" s="8" t="s">
        <v>301</v>
      </c>
      <c r="D12" s="8" t="s">
        <v>446</v>
      </c>
      <c r="E12" s="8"/>
      <c r="F12" s="6" t="s">
        <v>447</v>
      </c>
      <c r="G12" s="6" t="s">
        <v>448</v>
      </c>
      <c r="H12" s="6"/>
      <c r="I12" s="9" t="s">
        <v>413</v>
      </c>
      <c r="J12" s="18" t="s">
        <v>403</v>
      </c>
      <c r="K12" s="18" t="s">
        <v>110</v>
      </c>
      <c r="L12" s="18" t="s">
        <v>307</v>
      </c>
    </row>
    <row r="13" customFormat="false" ht="23.85" hidden="false" customHeight="false" outlineLevel="0" collapsed="false">
      <c r="A13" s="8" t="s">
        <v>203</v>
      </c>
      <c r="B13" s="6" t="s">
        <v>449</v>
      </c>
      <c r="C13" s="8" t="s">
        <v>348</v>
      </c>
      <c r="D13" s="8"/>
      <c r="E13" s="8"/>
      <c r="F13" s="6" t="s">
        <v>450</v>
      </c>
      <c r="G13" s="6" t="s">
        <v>451</v>
      </c>
      <c r="H13" s="6" t="s">
        <v>417</v>
      </c>
      <c r="I13" s="9" t="s">
        <v>418</v>
      </c>
      <c r="J13" s="18" t="s">
        <v>403</v>
      </c>
      <c r="K13" s="18" t="s">
        <v>110</v>
      </c>
      <c r="L13" s="18" t="s">
        <v>307</v>
      </c>
    </row>
    <row r="14" customFormat="false" ht="35.05" hidden="false" customHeight="false" outlineLevel="0" collapsed="false">
      <c r="A14" s="8" t="s">
        <v>220</v>
      </c>
      <c r="B14" s="6" t="s">
        <v>452</v>
      </c>
      <c r="C14" s="8" t="s">
        <v>348</v>
      </c>
      <c r="D14" s="8"/>
      <c r="E14" s="8"/>
      <c r="F14" s="6" t="s">
        <v>453</v>
      </c>
      <c r="G14" s="6" t="s">
        <v>454</v>
      </c>
      <c r="H14" s="6" t="s">
        <v>417</v>
      </c>
      <c r="I14" s="9" t="s">
        <v>418</v>
      </c>
      <c r="J14" s="18" t="s">
        <v>403</v>
      </c>
      <c r="K14" s="18" t="s">
        <v>110</v>
      </c>
      <c r="L14" s="18" t="s">
        <v>307</v>
      </c>
    </row>
    <row r="15" customFormat="false" ht="23.85" hidden="false" customHeight="false" outlineLevel="0" collapsed="false">
      <c r="A15" s="8" t="s">
        <v>220</v>
      </c>
      <c r="B15" s="6" t="s">
        <v>455</v>
      </c>
      <c r="C15" s="8" t="s">
        <v>301</v>
      </c>
      <c r="D15" s="8"/>
      <c r="E15" s="8" t="s">
        <v>425</v>
      </c>
      <c r="F15" s="6" t="s">
        <v>456</v>
      </c>
      <c r="G15" s="6" t="s">
        <v>457</v>
      </c>
      <c r="H15" s="6"/>
      <c r="I15" s="9" t="s">
        <v>413</v>
      </c>
      <c r="J15" s="18" t="s">
        <v>403</v>
      </c>
      <c r="K15" s="18" t="s">
        <v>110</v>
      </c>
      <c r="L15" s="18" t="s">
        <v>307</v>
      </c>
    </row>
    <row r="16" customFormat="false" ht="23.85" hidden="false" customHeight="false" outlineLevel="0" collapsed="false">
      <c r="A16" s="8" t="s">
        <v>220</v>
      </c>
      <c r="B16" s="6" t="s">
        <v>458</v>
      </c>
      <c r="C16" s="8" t="s">
        <v>301</v>
      </c>
      <c r="D16" s="8"/>
      <c r="E16" s="8" t="s">
        <v>459</v>
      </c>
      <c r="F16" s="6" t="s">
        <v>460</v>
      </c>
      <c r="G16" s="6" t="s">
        <v>461</v>
      </c>
      <c r="H16" s="6"/>
      <c r="I16" s="9" t="s">
        <v>413</v>
      </c>
      <c r="J16" s="18" t="s">
        <v>403</v>
      </c>
      <c r="K16" s="18" t="s">
        <v>110</v>
      </c>
      <c r="L16" s="18" t="s">
        <v>307</v>
      </c>
    </row>
    <row r="17" customFormat="false" ht="23.85" hidden="false" customHeight="false" outlineLevel="0" collapsed="false">
      <c r="A17" s="8" t="s">
        <v>220</v>
      </c>
      <c r="B17" s="6" t="s">
        <v>462</v>
      </c>
      <c r="C17" s="8" t="s">
        <v>301</v>
      </c>
      <c r="D17" s="8" t="s">
        <v>420</v>
      </c>
      <c r="E17" s="8"/>
      <c r="F17" s="6" t="s">
        <v>463</v>
      </c>
      <c r="G17" s="6" t="s">
        <v>464</v>
      </c>
      <c r="H17" s="6"/>
      <c r="I17" s="9" t="s">
        <v>413</v>
      </c>
      <c r="J17" s="18" t="s">
        <v>403</v>
      </c>
      <c r="K17" s="18" t="s">
        <v>110</v>
      </c>
      <c r="L17" s="18" t="s">
        <v>307</v>
      </c>
    </row>
    <row r="18" customFormat="false" ht="23.85" hidden="false" customHeight="false" outlineLevel="0" collapsed="false">
      <c r="A18" s="8" t="s">
        <v>220</v>
      </c>
      <c r="B18" s="6" t="s">
        <v>465</v>
      </c>
      <c r="C18" s="8" t="s">
        <v>301</v>
      </c>
      <c r="D18" s="8" t="s">
        <v>420</v>
      </c>
      <c r="E18" s="8"/>
      <c r="F18" s="6" t="s">
        <v>466</v>
      </c>
      <c r="G18" s="6" t="s">
        <v>467</v>
      </c>
      <c r="H18" s="6"/>
      <c r="I18" s="9" t="s">
        <v>413</v>
      </c>
      <c r="J18" s="18" t="s">
        <v>403</v>
      </c>
      <c r="K18" s="18" t="s">
        <v>110</v>
      </c>
      <c r="L18" s="18" t="s">
        <v>307</v>
      </c>
    </row>
    <row r="19" customFormat="false" ht="35.05" hidden="false" customHeight="false" outlineLevel="0" collapsed="false">
      <c r="A19" s="8" t="s">
        <v>212</v>
      </c>
      <c r="B19" s="6" t="s">
        <v>468</v>
      </c>
      <c r="C19" s="8" t="s">
        <v>348</v>
      </c>
      <c r="D19" s="8"/>
      <c r="E19" s="8"/>
      <c r="F19" s="6" t="s">
        <v>469</v>
      </c>
      <c r="G19" s="6" t="s">
        <v>470</v>
      </c>
      <c r="H19" s="6" t="s">
        <v>471</v>
      </c>
      <c r="I19" s="8" t="s">
        <v>402</v>
      </c>
      <c r="J19" s="18" t="s">
        <v>403</v>
      </c>
      <c r="K19" s="18" t="s">
        <v>110</v>
      </c>
      <c r="L19" s="18" t="s">
        <v>307</v>
      </c>
    </row>
    <row r="20" customFormat="false" ht="35.05" hidden="false" customHeight="false" outlineLevel="0" collapsed="false">
      <c r="A20" s="8" t="s">
        <v>212</v>
      </c>
      <c r="B20" s="6" t="s">
        <v>472</v>
      </c>
      <c r="C20" s="8" t="s">
        <v>301</v>
      </c>
      <c r="D20" s="8" t="s">
        <v>473</v>
      </c>
      <c r="E20" s="8" t="s">
        <v>398</v>
      </c>
      <c r="F20" s="6" t="s">
        <v>474</v>
      </c>
      <c r="G20" s="6" t="s">
        <v>475</v>
      </c>
      <c r="H20" s="6" t="s">
        <v>476</v>
      </c>
      <c r="I20" s="8" t="s">
        <v>402</v>
      </c>
      <c r="J20" s="18" t="s">
        <v>403</v>
      </c>
      <c r="K20" s="18" t="s">
        <v>110</v>
      </c>
      <c r="L20" s="18" t="s">
        <v>307</v>
      </c>
    </row>
    <row r="21" customFormat="false" ht="23.85" hidden="false" customHeight="false" outlineLevel="0" collapsed="false">
      <c r="A21" s="8" t="s">
        <v>212</v>
      </c>
      <c r="B21" s="6" t="s">
        <v>477</v>
      </c>
      <c r="C21" s="8" t="s">
        <v>301</v>
      </c>
      <c r="D21" s="8" t="s">
        <v>110</v>
      </c>
      <c r="E21" s="8" t="s">
        <v>425</v>
      </c>
      <c r="F21" s="6" t="s">
        <v>478</v>
      </c>
      <c r="G21" s="6" t="s">
        <v>479</v>
      </c>
      <c r="H21" s="6" t="s">
        <v>480</v>
      </c>
      <c r="I21" s="8" t="s">
        <v>402</v>
      </c>
      <c r="J21" s="18" t="s">
        <v>403</v>
      </c>
      <c r="K21" s="18" t="s">
        <v>110</v>
      </c>
      <c r="L21" s="18" t="s">
        <v>307</v>
      </c>
    </row>
    <row r="22" customFormat="false" ht="57.45" hidden="false" customHeight="false" outlineLevel="0" collapsed="false">
      <c r="A22" s="8" t="s">
        <v>105</v>
      </c>
      <c r="B22" s="6" t="s">
        <v>481</v>
      </c>
      <c r="C22" s="8" t="s">
        <v>348</v>
      </c>
      <c r="D22" s="8"/>
      <c r="E22" s="8"/>
      <c r="F22" s="6" t="s">
        <v>482</v>
      </c>
      <c r="G22" s="6" t="s">
        <v>483</v>
      </c>
      <c r="H22" s="6" t="s">
        <v>112</v>
      </c>
      <c r="I22" s="8" t="s">
        <v>402</v>
      </c>
      <c r="J22" s="18" t="s">
        <v>403</v>
      </c>
      <c r="K22" s="18" t="s">
        <v>110</v>
      </c>
      <c r="L22" s="18" t="s">
        <v>307</v>
      </c>
    </row>
    <row r="24" customFormat="false" ht="15" hidden="false" customHeight="false" outlineLevel="0" collapsed="false">
      <c r="A24" s="3" t="s">
        <v>484</v>
      </c>
    </row>
    <row r="25" customFormat="false" ht="15" hidden="false" customHeight="false" outlineLevel="0" collapsed="false">
      <c r="A25" s="2" t="s">
        <v>485</v>
      </c>
    </row>
    <row r="26" customFormat="false" ht="15" hidden="false" customHeight="false" outlineLevel="0" collapsed="false">
      <c r="A26" s="2" t="s">
        <v>486</v>
      </c>
    </row>
  </sheetData>
  <autoFilter ref="A1:L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62"/>
  </cols>
  <sheetData>
    <row r="1" customFormat="false" ht="23.85" hidden="false" customHeight="false" outlineLevel="0" collapsed="false">
      <c r="A1" s="4" t="s">
        <v>290</v>
      </c>
      <c r="B1" s="4" t="s">
        <v>487</v>
      </c>
      <c r="C1" s="4" t="s">
        <v>488</v>
      </c>
      <c r="D1" s="4" t="s">
        <v>489</v>
      </c>
      <c r="E1" s="4" t="s">
        <v>490</v>
      </c>
      <c r="F1" s="4" t="s">
        <v>491</v>
      </c>
      <c r="G1" s="4" t="s">
        <v>492</v>
      </c>
      <c r="H1" s="4" t="s">
        <v>291</v>
      </c>
      <c r="I1" s="4" t="s">
        <v>493</v>
      </c>
      <c r="J1" s="4" t="s">
        <v>494</v>
      </c>
      <c r="K1" s="4" t="s">
        <v>495</v>
      </c>
      <c r="L1" s="4" t="s">
        <v>496</v>
      </c>
    </row>
    <row r="2" customFormat="false" ht="15" hidden="false" customHeight="false" outlineLevel="0" collapsed="false">
      <c r="A2" s="8" t="s">
        <v>212</v>
      </c>
      <c r="B2" s="8" t="n">
        <v>1</v>
      </c>
      <c r="C2" s="8" t="s">
        <v>497</v>
      </c>
      <c r="D2" s="11" t="s">
        <v>498</v>
      </c>
      <c r="E2" s="8"/>
      <c r="F2" s="8"/>
      <c r="G2" s="8" t="s">
        <v>499</v>
      </c>
      <c r="H2" s="8" t="s">
        <v>339</v>
      </c>
      <c r="I2" s="8"/>
      <c r="J2" s="8"/>
      <c r="K2" s="8"/>
      <c r="L2" s="6"/>
    </row>
    <row r="3" customFormat="false" ht="15" hidden="false" customHeight="false" outlineLevel="0" collapsed="false">
      <c r="A3" s="8" t="s">
        <v>212</v>
      </c>
      <c r="B3" s="8" t="n">
        <v>2</v>
      </c>
      <c r="C3" s="8" t="s">
        <v>500</v>
      </c>
      <c r="D3" s="8" t="s">
        <v>499</v>
      </c>
      <c r="E3" s="8" t="s">
        <v>501</v>
      </c>
      <c r="F3" s="8" t="s">
        <v>502</v>
      </c>
      <c r="G3" s="8" t="s">
        <v>499</v>
      </c>
      <c r="H3" s="8" t="s">
        <v>339</v>
      </c>
      <c r="I3" s="8" t="n">
        <v>45</v>
      </c>
      <c r="J3" s="8"/>
      <c r="K3" s="8"/>
      <c r="L3" s="6" t="s">
        <v>503</v>
      </c>
    </row>
    <row r="4" customFormat="false" ht="15" hidden="false" customHeight="false" outlineLevel="0" collapsed="false">
      <c r="A4" s="8" t="s">
        <v>212</v>
      </c>
      <c r="B4" s="8" t="n">
        <v>3</v>
      </c>
      <c r="C4" s="8" t="s">
        <v>504</v>
      </c>
      <c r="D4" s="8" t="s">
        <v>499</v>
      </c>
      <c r="E4" s="8" t="s">
        <v>501</v>
      </c>
      <c r="F4" s="8" t="s">
        <v>502</v>
      </c>
      <c r="G4" s="8" t="s">
        <v>499</v>
      </c>
      <c r="H4" s="8" t="s">
        <v>339</v>
      </c>
      <c r="I4" s="8" t="n">
        <v>45</v>
      </c>
      <c r="J4" s="8"/>
      <c r="K4" s="8"/>
      <c r="L4" s="6" t="s">
        <v>503</v>
      </c>
    </row>
    <row r="5" customFormat="false" ht="15" hidden="false" customHeight="false" outlineLevel="0" collapsed="false">
      <c r="A5" s="8" t="s">
        <v>212</v>
      </c>
      <c r="B5" s="8" t="n">
        <v>4</v>
      </c>
      <c r="C5" s="8" t="s">
        <v>505</v>
      </c>
      <c r="D5" s="8" t="s">
        <v>499</v>
      </c>
      <c r="E5" s="8" t="s">
        <v>501</v>
      </c>
      <c r="F5" s="8" t="s">
        <v>502</v>
      </c>
      <c r="G5" s="8" t="s">
        <v>499</v>
      </c>
      <c r="H5" s="8" t="s">
        <v>339</v>
      </c>
      <c r="I5" s="8" t="n">
        <v>45</v>
      </c>
      <c r="J5" s="8"/>
      <c r="K5" s="8"/>
      <c r="L5" s="6" t="s">
        <v>503</v>
      </c>
    </row>
    <row r="6" customFormat="false" ht="15" hidden="false" customHeight="false" outlineLevel="0" collapsed="false">
      <c r="A6" s="8" t="s">
        <v>212</v>
      </c>
      <c r="B6" s="8" t="n">
        <v>5</v>
      </c>
      <c r="C6" s="8" t="s">
        <v>506</v>
      </c>
      <c r="D6" s="8" t="s">
        <v>499</v>
      </c>
      <c r="E6" s="8" t="s">
        <v>501</v>
      </c>
      <c r="F6" s="8" t="s">
        <v>502</v>
      </c>
      <c r="G6" s="8" t="s">
        <v>499</v>
      </c>
      <c r="H6" s="8" t="s">
        <v>339</v>
      </c>
      <c r="I6" s="8" t="n">
        <v>45</v>
      </c>
      <c r="J6" s="8"/>
      <c r="K6" s="8"/>
      <c r="L6" s="6" t="s">
        <v>503</v>
      </c>
    </row>
    <row r="7" customFormat="false" ht="15" hidden="false" customHeight="false" outlineLevel="0" collapsed="false">
      <c r="A7" s="8" t="s">
        <v>212</v>
      </c>
      <c r="B7" s="8" t="n">
        <v>6</v>
      </c>
      <c r="C7" s="8" t="s">
        <v>507</v>
      </c>
      <c r="D7" s="8" t="s">
        <v>499</v>
      </c>
      <c r="E7" s="8" t="s">
        <v>501</v>
      </c>
      <c r="F7" s="8" t="s">
        <v>508</v>
      </c>
      <c r="G7" s="8" t="s">
        <v>499</v>
      </c>
      <c r="H7" s="8" t="s">
        <v>339</v>
      </c>
      <c r="I7" s="8" t="n">
        <v>45</v>
      </c>
      <c r="J7" s="8"/>
      <c r="K7" s="8"/>
      <c r="L7" s="6" t="s">
        <v>503</v>
      </c>
    </row>
    <row r="8" customFormat="false" ht="15" hidden="false" customHeight="false" outlineLevel="0" collapsed="false">
      <c r="A8" s="8" t="s">
        <v>212</v>
      </c>
      <c r="B8" s="8" t="n">
        <v>7</v>
      </c>
      <c r="C8" s="8" t="s">
        <v>509</v>
      </c>
      <c r="D8" s="8" t="s">
        <v>499</v>
      </c>
      <c r="E8" s="8" t="s">
        <v>501</v>
      </c>
      <c r="F8" s="8" t="s">
        <v>508</v>
      </c>
      <c r="G8" s="8" t="s">
        <v>499</v>
      </c>
      <c r="H8" s="8" t="s">
        <v>339</v>
      </c>
      <c r="I8" s="8" t="n">
        <v>45</v>
      </c>
      <c r="J8" s="8"/>
      <c r="K8" s="8"/>
      <c r="L8" s="6" t="s">
        <v>503</v>
      </c>
    </row>
    <row r="9" customFormat="false" ht="15" hidden="false" customHeight="false" outlineLevel="0" collapsed="false">
      <c r="A9" s="8" t="s">
        <v>220</v>
      </c>
      <c r="B9" s="8" t="n">
        <v>1</v>
      </c>
      <c r="C9" s="8" t="s">
        <v>497</v>
      </c>
      <c r="D9" s="11" t="s">
        <v>498</v>
      </c>
      <c r="E9" s="8"/>
      <c r="F9" s="8"/>
      <c r="G9" s="8" t="s">
        <v>499</v>
      </c>
      <c r="H9" s="8" t="s">
        <v>339</v>
      </c>
      <c r="I9" s="8"/>
      <c r="J9" s="8"/>
      <c r="K9" s="8" t="s">
        <v>510</v>
      </c>
      <c r="L9" s="6"/>
    </row>
    <row r="10" customFormat="false" ht="15" hidden="false" customHeight="false" outlineLevel="0" collapsed="false">
      <c r="A10" s="8" t="s">
        <v>220</v>
      </c>
      <c r="B10" s="8" t="n">
        <v>2</v>
      </c>
      <c r="C10" s="8" t="s">
        <v>500</v>
      </c>
      <c r="D10" s="8" t="s">
        <v>499</v>
      </c>
      <c r="E10" s="8" t="s">
        <v>511</v>
      </c>
      <c r="F10" s="8" t="s">
        <v>502</v>
      </c>
      <c r="G10" s="8" t="s">
        <v>499</v>
      </c>
      <c r="H10" s="8" t="s">
        <v>339</v>
      </c>
      <c r="I10" s="8" t="n">
        <v>45</v>
      </c>
      <c r="J10" s="8"/>
      <c r="K10" s="8" t="s">
        <v>510</v>
      </c>
      <c r="L10" s="6" t="s">
        <v>512</v>
      </c>
    </row>
    <row r="11" customFormat="false" ht="15" hidden="false" customHeight="false" outlineLevel="0" collapsed="false">
      <c r="A11" s="8" t="s">
        <v>220</v>
      </c>
      <c r="B11" s="8" t="n">
        <v>3</v>
      </c>
      <c r="C11" s="8" t="s">
        <v>504</v>
      </c>
      <c r="D11" s="8" t="s">
        <v>499</v>
      </c>
      <c r="E11" s="8" t="s">
        <v>511</v>
      </c>
      <c r="F11" s="8" t="s">
        <v>502</v>
      </c>
      <c r="G11" s="8" t="s">
        <v>499</v>
      </c>
      <c r="H11" s="8" t="s">
        <v>339</v>
      </c>
      <c r="I11" s="8" t="n">
        <v>45</v>
      </c>
      <c r="J11" s="8"/>
      <c r="K11" s="8" t="s">
        <v>510</v>
      </c>
      <c r="L11" s="6" t="s">
        <v>512</v>
      </c>
    </row>
    <row r="12" customFormat="false" ht="15" hidden="false" customHeight="false" outlineLevel="0" collapsed="false">
      <c r="A12" s="8" t="s">
        <v>220</v>
      </c>
      <c r="B12" s="8" t="n">
        <v>4</v>
      </c>
      <c r="C12" s="8" t="s">
        <v>505</v>
      </c>
      <c r="D12" s="8" t="s">
        <v>499</v>
      </c>
      <c r="E12" s="8" t="s">
        <v>511</v>
      </c>
      <c r="F12" s="8" t="s">
        <v>502</v>
      </c>
      <c r="G12" s="8" t="s">
        <v>499</v>
      </c>
      <c r="H12" s="8" t="s">
        <v>339</v>
      </c>
      <c r="I12" s="8" t="n">
        <v>45</v>
      </c>
      <c r="J12" s="8"/>
      <c r="K12" s="8" t="s">
        <v>510</v>
      </c>
      <c r="L12" s="6" t="s">
        <v>512</v>
      </c>
    </row>
    <row r="13" customFormat="false" ht="15" hidden="false" customHeight="false" outlineLevel="0" collapsed="false">
      <c r="A13" s="8" t="s">
        <v>220</v>
      </c>
      <c r="B13" s="8" t="n">
        <v>5</v>
      </c>
      <c r="C13" s="8" t="s">
        <v>506</v>
      </c>
      <c r="D13" s="8" t="s">
        <v>499</v>
      </c>
      <c r="E13" s="8" t="s">
        <v>511</v>
      </c>
      <c r="F13" s="8" t="s">
        <v>502</v>
      </c>
      <c r="G13" s="8" t="s">
        <v>499</v>
      </c>
      <c r="H13" s="8" t="s">
        <v>339</v>
      </c>
      <c r="I13" s="8" t="n">
        <v>45</v>
      </c>
      <c r="J13" s="8"/>
      <c r="K13" s="8" t="s">
        <v>510</v>
      </c>
      <c r="L13" s="6" t="s">
        <v>512</v>
      </c>
    </row>
    <row r="14" customFormat="false" ht="15" hidden="false" customHeight="false" outlineLevel="0" collapsed="false">
      <c r="A14" s="8" t="s">
        <v>220</v>
      </c>
      <c r="B14" s="8" t="n">
        <v>6</v>
      </c>
      <c r="C14" s="8" t="s">
        <v>507</v>
      </c>
      <c r="D14" s="8" t="s">
        <v>499</v>
      </c>
      <c r="E14" s="8" t="s">
        <v>501</v>
      </c>
      <c r="F14" s="8" t="s">
        <v>502</v>
      </c>
      <c r="G14" s="8" t="s">
        <v>499</v>
      </c>
      <c r="H14" s="8" t="s">
        <v>339</v>
      </c>
      <c r="I14" s="8" t="n">
        <v>45</v>
      </c>
      <c r="J14" s="8"/>
      <c r="K14" s="8" t="s">
        <v>510</v>
      </c>
      <c r="L14" s="6" t="s">
        <v>512</v>
      </c>
    </row>
    <row r="15" customFormat="false" ht="15" hidden="false" customHeight="false" outlineLevel="0" collapsed="false">
      <c r="A15" s="8" t="s">
        <v>220</v>
      </c>
      <c r="B15" s="8" t="n">
        <v>7</v>
      </c>
      <c r="C15" s="8" t="s">
        <v>509</v>
      </c>
      <c r="D15" s="8" t="s">
        <v>499</v>
      </c>
      <c r="E15" s="8" t="s">
        <v>501</v>
      </c>
      <c r="F15" s="8" t="s">
        <v>502</v>
      </c>
      <c r="G15" s="8" t="s">
        <v>499</v>
      </c>
      <c r="H15" s="8" t="s">
        <v>339</v>
      </c>
      <c r="I15" s="8" t="n">
        <v>45</v>
      </c>
      <c r="J15" s="8"/>
      <c r="K15" s="8" t="s">
        <v>510</v>
      </c>
      <c r="L15" s="6" t="s">
        <v>512</v>
      </c>
    </row>
    <row r="16" customFormat="false" ht="15" hidden="false" customHeight="false" outlineLevel="0" collapsed="false">
      <c r="A16" s="8" t="s">
        <v>194</v>
      </c>
      <c r="B16" s="8" t="n">
        <v>1</v>
      </c>
      <c r="C16" s="8" t="s">
        <v>497</v>
      </c>
      <c r="D16" s="11" t="s">
        <v>498</v>
      </c>
      <c r="E16" s="8"/>
      <c r="F16" s="8"/>
      <c r="G16" s="8" t="s">
        <v>499</v>
      </c>
      <c r="H16" s="8" t="s">
        <v>339</v>
      </c>
      <c r="I16" s="8"/>
      <c r="J16" s="8"/>
      <c r="K16" s="8"/>
      <c r="L16" s="6"/>
    </row>
    <row r="17" customFormat="false" ht="15" hidden="false" customHeight="false" outlineLevel="0" collapsed="false">
      <c r="A17" s="8" t="s">
        <v>194</v>
      </c>
      <c r="B17" s="8" t="n">
        <v>2</v>
      </c>
      <c r="C17" s="8" t="s">
        <v>500</v>
      </c>
      <c r="D17" s="8" t="s">
        <v>499</v>
      </c>
      <c r="E17" s="8" t="s">
        <v>511</v>
      </c>
      <c r="F17" s="8" t="s">
        <v>502</v>
      </c>
      <c r="G17" s="8" t="s">
        <v>499</v>
      </c>
      <c r="H17" s="8" t="s">
        <v>339</v>
      </c>
      <c r="I17" s="8" t="n">
        <v>45</v>
      </c>
      <c r="J17" s="8"/>
      <c r="K17" s="8"/>
      <c r="L17" s="6"/>
    </row>
    <row r="18" customFormat="false" ht="15" hidden="false" customHeight="false" outlineLevel="0" collapsed="false">
      <c r="A18" s="8" t="s">
        <v>194</v>
      </c>
      <c r="B18" s="8" t="n">
        <v>3</v>
      </c>
      <c r="C18" s="8" t="s">
        <v>504</v>
      </c>
      <c r="D18" s="8" t="s">
        <v>499</v>
      </c>
      <c r="E18" s="8" t="s">
        <v>511</v>
      </c>
      <c r="F18" s="8" t="s">
        <v>502</v>
      </c>
      <c r="G18" s="8" t="s">
        <v>499</v>
      </c>
      <c r="H18" s="8" t="s">
        <v>339</v>
      </c>
      <c r="I18" s="8" t="n">
        <v>45</v>
      </c>
      <c r="J18" s="8"/>
      <c r="K18" s="8"/>
      <c r="L18" s="6"/>
    </row>
    <row r="19" customFormat="false" ht="15" hidden="false" customHeight="false" outlineLevel="0" collapsed="false">
      <c r="A19" s="8" t="s">
        <v>194</v>
      </c>
      <c r="B19" s="8" t="n">
        <v>4</v>
      </c>
      <c r="C19" s="8" t="s">
        <v>505</v>
      </c>
      <c r="D19" s="8" t="s">
        <v>499</v>
      </c>
      <c r="E19" s="8" t="s">
        <v>511</v>
      </c>
      <c r="F19" s="8" t="s">
        <v>502</v>
      </c>
      <c r="G19" s="8" t="s">
        <v>499</v>
      </c>
      <c r="H19" s="8" t="s">
        <v>339</v>
      </c>
      <c r="I19" s="8" t="n">
        <v>45</v>
      </c>
      <c r="J19" s="8"/>
      <c r="K19" s="8"/>
      <c r="L19" s="6"/>
    </row>
    <row r="20" customFormat="false" ht="15" hidden="false" customHeight="false" outlineLevel="0" collapsed="false">
      <c r="A20" s="8" t="s">
        <v>194</v>
      </c>
      <c r="B20" s="8" t="n">
        <v>5</v>
      </c>
      <c r="C20" s="8" t="s">
        <v>506</v>
      </c>
      <c r="D20" s="8" t="s">
        <v>499</v>
      </c>
      <c r="E20" s="8" t="s">
        <v>511</v>
      </c>
      <c r="F20" s="8" t="s">
        <v>502</v>
      </c>
      <c r="G20" s="8" t="s">
        <v>499</v>
      </c>
      <c r="H20" s="8" t="s">
        <v>339</v>
      </c>
      <c r="I20" s="8" t="n">
        <v>45</v>
      </c>
      <c r="J20" s="8"/>
      <c r="K20" s="8"/>
      <c r="L20" s="6"/>
    </row>
    <row r="21" customFormat="false" ht="15" hidden="false" customHeight="false" outlineLevel="0" collapsed="false">
      <c r="A21" s="8" t="s">
        <v>194</v>
      </c>
      <c r="B21" s="8" t="n">
        <v>6</v>
      </c>
      <c r="C21" s="8" t="s">
        <v>507</v>
      </c>
      <c r="D21" s="8" t="s">
        <v>499</v>
      </c>
      <c r="E21" s="8" t="s">
        <v>511</v>
      </c>
      <c r="F21" s="8" t="s">
        <v>502</v>
      </c>
      <c r="G21" s="8" t="s">
        <v>499</v>
      </c>
      <c r="H21" s="8" t="s">
        <v>339</v>
      </c>
      <c r="I21" s="8" t="n">
        <v>45</v>
      </c>
      <c r="J21" s="8"/>
      <c r="K21" s="8"/>
      <c r="L21" s="6"/>
    </row>
    <row r="22" customFormat="false" ht="15" hidden="false" customHeight="false" outlineLevel="0" collapsed="false">
      <c r="A22" s="8" t="s">
        <v>194</v>
      </c>
      <c r="B22" s="8" t="n">
        <v>7</v>
      </c>
      <c r="C22" s="8" t="s">
        <v>509</v>
      </c>
      <c r="D22" s="8" t="s">
        <v>499</v>
      </c>
      <c r="E22" s="8" t="s">
        <v>511</v>
      </c>
      <c r="F22" s="8" t="s">
        <v>502</v>
      </c>
      <c r="G22" s="8" t="s">
        <v>499</v>
      </c>
      <c r="H22" s="8" t="s">
        <v>339</v>
      </c>
      <c r="I22" s="8" t="n">
        <v>45</v>
      </c>
      <c r="J22" s="8"/>
      <c r="K22" s="8"/>
      <c r="L22" s="6"/>
    </row>
    <row r="23" customFormat="false" ht="23.85" hidden="false" customHeight="false" outlineLevel="0" collapsed="false">
      <c r="A23" s="8" t="s">
        <v>194</v>
      </c>
      <c r="B23" s="8" t="n">
        <v>4</v>
      </c>
      <c r="C23" s="8" t="s">
        <v>505</v>
      </c>
      <c r="D23" s="8" t="s">
        <v>499</v>
      </c>
      <c r="E23" s="8" t="s">
        <v>502</v>
      </c>
      <c r="F23" s="8" t="s">
        <v>513</v>
      </c>
      <c r="G23" s="19" t="s">
        <v>498</v>
      </c>
      <c r="H23" s="8" t="s">
        <v>301</v>
      </c>
      <c r="I23" s="8" t="n">
        <v>45</v>
      </c>
      <c r="J23" s="8"/>
      <c r="K23" s="8"/>
      <c r="L23" s="6" t="s">
        <v>514</v>
      </c>
    </row>
    <row r="24" customFormat="false" ht="15" hidden="false" customHeight="false" outlineLevel="0" collapsed="false">
      <c r="A24" s="8" t="s">
        <v>229</v>
      </c>
      <c r="B24" s="8" t="n">
        <v>1</v>
      </c>
      <c r="C24" s="8" t="s">
        <v>497</v>
      </c>
      <c r="D24" s="11" t="s">
        <v>498</v>
      </c>
      <c r="E24" s="8"/>
      <c r="F24" s="8"/>
      <c r="G24" s="8" t="s">
        <v>499</v>
      </c>
      <c r="H24" s="8" t="s">
        <v>339</v>
      </c>
      <c r="I24" s="8"/>
      <c r="J24" s="8"/>
      <c r="K24" s="8"/>
      <c r="L24" s="6"/>
    </row>
    <row r="25" customFormat="false" ht="15" hidden="false" customHeight="false" outlineLevel="0" collapsed="false">
      <c r="A25" s="8" t="s">
        <v>229</v>
      </c>
      <c r="B25" s="8" t="n">
        <v>2</v>
      </c>
      <c r="C25" s="8" t="s">
        <v>500</v>
      </c>
      <c r="D25" s="8" t="s">
        <v>499</v>
      </c>
      <c r="E25" s="8" t="s">
        <v>511</v>
      </c>
      <c r="F25" s="8" t="s">
        <v>508</v>
      </c>
      <c r="G25" s="8" t="s">
        <v>499</v>
      </c>
      <c r="H25" s="8" t="s">
        <v>339</v>
      </c>
      <c r="I25" s="8"/>
      <c r="J25" s="8"/>
      <c r="K25" s="8"/>
      <c r="L25" s="6" t="s">
        <v>515</v>
      </c>
    </row>
    <row r="26" customFormat="false" ht="15" hidden="false" customHeight="false" outlineLevel="0" collapsed="false">
      <c r="A26" s="8" t="s">
        <v>229</v>
      </c>
      <c r="B26" s="8" t="n">
        <v>3</v>
      </c>
      <c r="C26" s="8" t="s">
        <v>504</v>
      </c>
      <c r="D26" s="8" t="s">
        <v>499</v>
      </c>
      <c r="E26" s="8" t="s">
        <v>511</v>
      </c>
      <c r="F26" s="8" t="s">
        <v>508</v>
      </c>
      <c r="G26" s="8" t="s">
        <v>499</v>
      </c>
      <c r="H26" s="8" t="s">
        <v>339</v>
      </c>
      <c r="I26" s="8"/>
      <c r="J26" s="8"/>
      <c r="K26" s="8"/>
      <c r="L26" s="6" t="s">
        <v>515</v>
      </c>
    </row>
    <row r="27" customFormat="false" ht="15" hidden="false" customHeight="false" outlineLevel="0" collapsed="false">
      <c r="A27" s="8" t="s">
        <v>229</v>
      </c>
      <c r="B27" s="8" t="n">
        <v>4</v>
      </c>
      <c r="C27" s="8" t="s">
        <v>505</v>
      </c>
      <c r="D27" s="8" t="s">
        <v>499</v>
      </c>
      <c r="E27" s="8" t="s">
        <v>511</v>
      </c>
      <c r="F27" s="8" t="s">
        <v>508</v>
      </c>
      <c r="G27" s="8" t="s">
        <v>499</v>
      </c>
      <c r="H27" s="8" t="s">
        <v>339</v>
      </c>
      <c r="I27" s="8"/>
      <c r="J27" s="8"/>
      <c r="K27" s="8"/>
      <c r="L27" s="6" t="s">
        <v>515</v>
      </c>
    </row>
    <row r="28" customFormat="false" ht="15" hidden="false" customHeight="false" outlineLevel="0" collapsed="false">
      <c r="A28" s="8" t="s">
        <v>229</v>
      </c>
      <c r="B28" s="8" t="n">
        <v>5</v>
      </c>
      <c r="C28" s="8" t="s">
        <v>506</v>
      </c>
      <c r="D28" s="8" t="s">
        <v>499</v>
      </c>
      <c r="E28" s="8" t="s">
        <v>511</v>
      </c>
      <c r="F28" s="8" t="s">
        <v>516</v>
      </c>
      <c r="G28" s="8" t="s">
        <v>499</v>
      </c>
      <c r="H28" s="8" t="s">
        <v>339</v>
      </c>
      <c r="I28" s="8"/>
      <c r="J28" s="8"/>
      <c r="K28" s="8"/>
      <c r="L28" s="6" t="s">
        <v>515</v>
      </c>
    </row>
    <row r="29" customFormat="false" ht="15" hidden="false" customHeight="false" outlineLevel="0" collapsed="false">
      <c r="A29" s="8" t="s">
        <v>229</v>
      </c>
      <c r="B29" s="8" t="n">
        <v>6</v>
      </c>
      <c r="C29" s="8" t="s">
        <v>507</v>
      </c>
      <c r="D29" s="8" t="s">
        <v>499</v>
      </c>
      <c r="E29" s="8" t="s">
        <v>511</v>
      </c>
      <c r="F29" s="8" t="s">
        <v>508</v>
      </c>
      <c r="G29" s="8" t="s">
        <v>499</v>
      </c>
      <c r="H29" s="8" t="s">
        <v>339</v>
      </c>
      <c r="I29" s="8"/>
      <c r="J29" s="8"/>
      <c r="K29" s="8"/>
      <c r="L29" s="6" t="s">
        <v>515</v>
      </c>
    </row>
    <row r="30" customFormat="false" ht="15" hidden="false" customHeight="false" outlineLevel="0" collapsed="false">
      <c r="A30" s="8" t="s">
        <v>229</v>
      </c>
      <c r="B30" s="8" t="n">
        <v>7</v>
      </c>
      <c r="C30" s="8" t="s">
        <v>509</v>
      </c>
      <c r="D30" s="8" t="s">
        <v>499</v>
      </c>
      <c r="E30" s="8" t="s">
        <v>511</v>
      </c>
      <c r="F30" s="8" t="s">
        <v>508</v>
      </c>
      <c r="G30" s="8" t="s">
        <v>499</v>
      </c>
      <c r="H30" s="8" t="s">
        <v>339</v>
      </c>
      <c r="I30" s="8"/>
      <c r="J30" s="8"/>
      <c r="K30" s="8"/>
      <c r="L30" s="6" t="s">
        <v>515</v>
      </c>
    </row>
    <row r="31" customFormat="false" ht="15" hidden="false" customHeight="false" outlineLevel="0" collapsed="false">
      <c r="A31" s="8" t="s">
        <v>229</v>
      </c>
      <c r="B31" s="8" t="n">
        <v>5</v>
      </c>
      <c r="C31" s="8" t="s">
        <v>506</v>
      </c>
      <c r="D31" s="8" t="s">
        <v>499</v>
      </c>
      <c r="E31" s="8" t="s">
        <v>508</v>
      </c>
      <c r="F31" s="8" t="s">
        <v>516</v>
      </c>
      <c r="G31" s="19" t="s">
        <v>498</v>
      </c>
      <c r="H31" s="8" t="s">
        <v>339</v>
      </c>
      <c r="I31" s="8"/>
      <c r="J31" s="8"/>
      <c r="K31" s="8"/>
      <c r="L31" s="6" t="s">
        <v>517</v>
      </c>
    </row>
    <row r="32" customFormat="false" ht="15" hidden="false" customHeight="false" outlineLevel="0" collapsed="false">
      <c r="A32" s="8" t="s">
        <v>237</v>
      </c>
      <c r="B32" s="8" t="n">
        <v>1</v>
      </c>
      <c r="C32" s="8" t="s">
        <v>497</v>
      </c>
      <c r="D32" s="8" t="s">
        <v>499</v>
      </c>
      <c r="E32" s="8" t="s">
        <v>511</v>
      </c>
      <c r="F32" s="8" t="s">
        <v>508</v>
      </c>
      <c r="G32" s="8" t="s">
        <v>499</v>
      </c>
      <c r="H32" s="8" t="s">
        <v>339</v>
      </c>
      <c r="I32" s="8"/>
      <c r="J32" s="8"/>
      <c r="K32" s="8"/>
      <c r="L32" s="6" t="s">
        <v>518</v>
      </c>
    </row>
    <row r="33" customFormat="false" ht="15" hidden="false" customHeight="false" outlineLevel="0" collapsed="false">
      <c r="A33" s="8" t="s">
        <v>237</v>
      </c>
      <c r="B33" s="8" t="n">
        <v>2</v>
      </c>
      <c r="C33" s="8" t="s">
        <v>500</v>
      </c>
      <c r="D33" s="11" t="s">
        <v>498</v>
      </c>
      <c r="E33" s="8"/>
      <c r="F33" s="8"/>
      <c r="G33" s="8" t="s">
        <v>499</v>
      </c>
      <c r="H33" s="8" t="s">
        <v>339</v>
      </c>
      <c r="I33" s="8"/>
      <c r="J33" s="8"/>
      <c r="K33" s="8"/>
      <c r="L33" s="6"/>
    </row>
    <row r="34" customFormat="false" ht="15" hidden="false" customHeight="false" outlineLevel="0" collapsed="false">
      <c r="A34" s="8" t="s">
        <v>237</v>
      </c>
      <c r="B34" s="8" t="n">
        <v>3</v>
      </c>
      <c r="C34" s="8" t="s">
        <v>504</v>
      </c>
      <c r="D34" s="8" t="s">
        <v>499</v>
      </c>
      <c r="E34" s="8" t="s">
        <v>511</v>
      </c>
      <c r="F34" s="8" t="s">
        <v>508</v>
      </c>
      <c r="G34" s="8" t="s">
        <v>499</v>
      </c>
      <c r="H34" s="8" t="s">
        <v>339</v>
      </c>
      <c r="I34" s="8"/>
      <c r="J34" s="8"/>
      <c r="K34" s="8"/>
      <c r="L34" s="6" t="s">
        <v>518</v>
      </c>
    </row>
    <row r="35" customFormat="false" ht="15" hidden="false" customHeight="false" outlineLevel="0" collapsed="false">
      <c r="A35" s="8" t="s">
        <v>237</v>
      </c>
      <c r="B35" s="8" t="n">
        <v>4</v>
      </c>
      <c r="C35" s="8" t="s">
        <v>505</v>
      </c>
      <c r="D35" s="8" t="s">
        <v>499</v>
      </c>
      <c r="E35" s="8" t="s">
        <v>511</v>
      </c>
      <c r="F35" s="8" t="s">
        <v>508</v>
      </c>
      <c r="G35" s="8" t="s">
        <v>499</v>
      </c>
      <c r="H35" s="8" t="s">
        <v>339</v>
      </c>
      <c r="I35" s="8"/>
      <c r="J35" s="8"/>
      <c r="K35" s="8"/>
      <c r="L35" s="6" t="s">
        <v>518</v>
      </c>
    </row>
    <row r="36" customFormat="false" ht="15" hidden="false" customHeight="false" outlineLevel="0" collapsed="false">
      <c r="A36" s="8" t="s">
        <v>237</v>
      </c>
      <c r="B36" s="8" t="n">
        <v>5</v>
      </c>
      <c r="C36" s="8" t="s">
        <v>506</v>
      </c>
      <c r="D36" s="8" t="s">
        <v>499</v>
      </c>
      <c r="E36" s="8" t="s">
        <v>511</v>
      </c>
      <c r="F36" s="8" t="s">
        <v>508</v>
      </c>
      <c r="G36" s="8" t="s">
        <v>499</v>
      </c>
      <c r="H36" s="8" t="s">
        <v>339</v>
      </c>
      <c r="I36" s="8"/>
      <c r="J36" s="8"/>
      <c r="K36" s="8"/>
      <c r="L36" s="6" t="s">
        <v>518</v>
      </c>
    </row>
    <row r="37" customFormat="false" ht="15" hidden="false" customHeight="false" outlineLevel="0" collapsed="false">
      <c r="A37" s="8" t="s">
        <v>237</v>
      </c>
      <c r="B37" s="8" t="n">
        <v>6</v>
      </c>
      <c r="C37" s="8" t="s">
        <v>507</v>
      </c>
      <c r="D37" s="8" t="s">
        <v>499</v>
      </c>
      <c r="E37" s="8" t="s">
        <v>511</v>
      </c>
      <c r="F37" s="8" t="s">
        <v>508</v>
      </c>
      <c r="G37" s="8" t="s">
        <v>499</v>
      </c>
      <c r="H37" s="8" t="s">
        <v>339</v>
      </c>
      <c r="I37" s="8"/>
      <c r="J37" s="8"/>
      <c r="K37" s="8"/>
      <c r="L37" s="6" t="s">
        <v>518</v>
      </c>
    </row>
    <row r="38" customFormat="false" ht="15" hidden="false" customHeight="false" outlineLevel="0" collapsed="false">
      <c r="A38" s="8" t="s">
        <v>237</v>
      </c>
      <c r="B38" s="8" t="n">
        <v>7</v>
      </c>
      <c r="C38" s="8" t="s">
        <v>509</v>
      </c>
      <c r="D38" s="8" t="s">
        <v>499</v>
      </c>
      <c r="E38" s="8" t="s">
        <v>511</v>
      </c>
      <c r="F38" s="8" t="s">
        <v>508</v>
      </c>
      <c r="G38" s="8" t="s">
        <v>499</v>
      </c>
      <c r="H38" s="8" t="s">
        <v>339</v>
      </c>
      <c r="I38" s="8"/>
      <c r="J38" s="8"/>
      <c r="K38" s="8"/>
      <c r="L38" s="6" t="s">
        <v>518</v>
      </c>
    </row>
    <row r="39" customFormat="false" ht="15" hidden="false" customHeight="false" outlineLevel="0" collapsed="false">
      <c r="A39" s="8" t="s">
        <v>245</v>
      </c>
      <c r="B39" s="8" t="n">
        <v>1</v>
      </c>
      <c r="C39" s="8" t="s">
        <v>497</v>
      </c>
      <c r="D39" s="8" t="s">
        <v>499</v>
      </c>
      <c r="E39" s="8" t="s">
        <v>501</v>
      </c>
      <c r="F39" s="8" t="s">
        <v>508</v>
      </c>
      <c r="G39" s="8" t="s">
        <v>499</v>
      </c>
      <c r="H39" s="8" t="s">
        <v>339</v>
      </c>
      <c r="I39" s="8" t="n">
        <v>45</v>
      </c>
      <c r="J39" s="8"/>
      <c r="K39" s="8"/>
      <c r="L39" s="6" t="s">
        <v>519</v>
      </c>
    </row>
    <row r="40" customFormat="false" ht="15" hidden="false" customHeight="false" outlineLevel="0" collapsed="false">
      <c r="A40" s="8" t="s">
        <v>245</v>
      </c>
      <c r="B40" s="8" t="n">
        <v>2</v>
      </c>
      <c r="C40" s="8" t="s">
        <v>500</v>
      </c>
      <c r="D40" s="8" t="s">
        <v>499</v>
      </c>
      <c r="E40" s="8" t="s">
        <v>501</v>
      </c>
      <c r="F40" s="8" t="s">
        <v>508</v>
      </c>
      <c r="G40" s="8" t="s">
        <v>499</v>
      </c>
      <c r="H40" s="8" t="s">
        <v>339</v>
      </c>
      <c r="I40" s="8" t="n">
        <v>45</v>
      </c>
      <c r="J40" s="8"/>
      <c r="K40" s="8"/>
      <c r="L40" s="6" t="s">
        <v>519</v>
      </c>
    </row>
    <row r="41" customFormat="false" ht="15" hidden="false" customHeight="false" outlineLevel="0" collapsed="false">
      <c r="A41" s="8" t="s">
        <v>245</v>
      </c>
      <c r="B41" s="8" t="n">
        <v>3</v>
      </c>
      <c r="C41" s="8" t="s">
        <v>504</v>
      </c>
      <c r="D41" s="8" t="s">
        <v>499</v>
      </c>
      <c r="E41" s="8" t="s">
        <v>501</v>
      </c>
      <c r="F41" s="8" t="s">
        <v>508</v>
      </c>
      <c r="G41" s="8" t="s">
        <v>499</v>
      </c>
      <c r="H41" s="8" t="s">
        <v>339</v>
      </c>
      <c r="I41" s="8" t="n">
        <v>45</v>
      </c>
      <c r="J41" s="8"/>
      <c r="K41" s="8"/>
      <c r="L41" s="6" t="s">
        <v>519</v>
      </c>
    </row>
    <row r="42" customFormat="false" ht="15" hidden="false" customHeight="false" outlineLevel="0" collapsed="false">
      <c r="A42" s="8" t="s">
        <v>245</v>
      </c>
      <c r="B42" s="8" t="n">
        <v>4</v>
      </c>
      <c r="C42" s="8" t="s">
        <v>505</v>
      </c>
      <c r="D42" s="8" t="s">
        <v>499</v>
      </c>
      <c r="E42" s="8" t="s">
        <v>501</v>
      </c>
      <c r="F42" s="8" t="s">
        <v>508</v>
      </c>
      <c r="G42" s="8" t="s">
        <v>499</v>
      </c>
      <c r="H42" s="8" t="s">
        <v>339</v>
      </c>
      <c r="I42" s="8" t="n">
        <v>45</v>
      </c>
      <c r="J42" s="8"/>
      <c r="K42" s="8"/>
      <c r="L42" s="6" t="s">
        <v>519</v>
      </c>
    </row>
    <row r="43" customFormat="false" ht="15" hidden="false" customHeight="false" outlineLevel="0" collapsed="false">
      <c r="A43" s="8" t="s">
        <v>245</v>
      </c>
      <c r="B43" s="8" t="n">
        <v>5</v>
      </c>
      <c r="C43" s="8" t="s">
        <v>506</v>
      </c>
      <c r="D43" s="8" t="s">
        <v>499</v>
      </c>
      <c r="E43" s="8" t="s">
        <v>501</v>
      </c>
      <c r="F43" s="8" t="s">
        <v>508</v>
      </c>
      <c r="G43" s="8" t="s">
        <v>499</v>
      </c>
      <c r="H43" s="8" t="s">
        <v>339</v>
      </c>
      <c r="I43" s="8" t="n">
        <v>45</v>
      </c>
      <c r="J43" s="8"/>
      <c r="K43" s="8"/>
      <c r="L43" s="6" t="s">
        <v>519</v>
      </c>
    </row>
    <row r="44" customFormat="false" ht="15" hidden="false" customHeight="false" outlineLevel="0" collapsed="false">
      <c r="A44" s="8" t="s">
        <v>245</v>
      </c>
      <c r="B44" s="8" t="n">
        <v>6</v>
      </c>
      <c r="C44" s="8" t="s">
        <v>507</v>
      </c>
      <c r="D44" s="8" t="s">
        <v>499</v>
      </c>
      <c r="E44" s="8" t="s">
        <v>501</v>
      </c>
      <c r="F44" s="8" t="s">
        <v>508</v>
      </c>
      <c r="G44" s="8" t="s">
        <v>499</v>
      </c>
      <c r="H44" s="8" t="s">
        <v>339</v>
      </c>
      <c r="I44" s="8" t="n">
        <v>45</v>
      </c>
      <c r="J44" s="8"/>
      <c r="K44" s="8"/>
      <c r="L44" s="6" t="s">
        <v>519</v>
      </c>
    </row>
    <row r="45" customFormat="false" ht="15" hidden="false" customHeight="false" outlineLevel="0" collapsed="false">
      <c r="A45" s="8" t="s">
        <v>245</v>
      </c>
      <c r="B45" s="8" t="n">
        <v>7</v>
      </c>
      <c r="C45" s="8" t="s">
        <v>509</v>
      </c>
      <c r="D45" s="8" t="s">
        <v>499</v>
      </c>
      <c r="E45" s="8" t="s">
        <v>501</v>
      </c>
      <c r="F45" s="8" t="s">
        <v>508</v>
      </c>
      <c r="G45" s="8" t="s">
        <v>499</v>
      </c>
      <c r="H45" s="8" t="s">
        <v>339</v>
      </c>
      <c r="I45" s="8" t="n">
        <v>45</v>
      </c>
      <c r="J45" s="8"/>
      <c r="K45" s="8"/>
      <c r="L45" s="6" t="s">
        <v>519</v>
      </c>
    </row>
    <row r="46" customFormat="false" ht="15" hidden="false" customHeight="false" outlineLevel="0" collapsed="false">
      <c r="A46" s="8" t="s">
        <v>255</v>
      </c>
      <c r="B46" s="8" t="n">
        <v>1</v>
      </c>
      <c r="C46" s="8" t="s">
        <v>497</v>
      </c>
      <c r="D46" s="11" t="s">
        <v>498</v>
      </c>
      <c r="E46" s="8"/>
      <c r="F46" s="8"/>
      <c r="G46" s="8" t="s">
        <v>499</v>
      </c>
      <c r="H46" s="8" t="s">
        <v>339</v>
      </c>
      <c r="I46" s="8"/>
      <c r="J46" s="8"/>
      <c r="K46" s="8"/>
      <c r="L46" s="6"/>
    </row>
    <row r="47" customFormat="false" ht="23.85" hidden="false" customHeight="false" outlineLevel="0" collapsed="false">
      <c r="A47" s="8" t="s">
        <v>255</v>
      </c>
      <c r="B47" s="8" t="n">
        <v>2</v>
      </c>
      <c r="C47" s="8" t="s">
        <v>500</v>
      </c>
      <c r="D47" s="8" t="s">
        <v>499</v>
      </c>
      <c r="E47" s="8" t="s">
        <v>520</v>
      </c>
      <c r="F47" s="8" t="s">
        <v>502</v>
      </c>
      <c r="G47" s="8" t="s">
        <v>499</v>
      </c>
      <c r="H47" s="8" t="s">
        <v>339</v>
      </c>
      <c r="I47" s="8"/>
      <c r="J47" s="8"/>
      <c r="K47" s="8"/>
      <c r="L47" s="6" t="s">
        <v>521</v>
      </c>
    </row>
    <row r="48" customFormat="false" ht="23.85" hidden="false" customHeight="false" outlineLevel="0" collapsed="false">
      <c r="A48" s="8" t="s">
        <v>255</v>
      </c>
      <c r="B48" s="8" t="n">
        <v>3</v>
      </c>
      <c r="C48" s="8" t="s">
        <v>504</v>
      </c>
      <c r="D48" s="8" t="s">
        <v>499</v>
      </c>
      <c r="E48" s="8" t="s">
        <v>520</v>
      </c>
      <c r="F48" s="8" t="s">
        <v>502</v>
      </c>
      <c r="G48" s="8" t="s">
        <v>499</v>
      </c>
      <c r="H48" s="8" t="s">
        <v>339</v>
      </c>
      <c r="I48" s="8"/>
      <c r="J48" s="8"/>
      <c r="K48" s="8"/>
      <c r="L48" s="6" t="s">
        <v>521</v>
      </c>
    </row>
    <row r="49" customFormat="false" ht="23.85" hidden="false" customHeight="false" outlineLevel="0" collapsed="false">
      <c r="A49" s="8" t="s">
        <v>255</v>
      </c>
      <c r="B49" s="8" t="n">
        <v>4</v>
      </c>
      <c r="C49" s="8" t="s">
        <v>505</v>
      </c>
      <c r="D49" s="8" t="s">
        <v>499</v>
      </c>
      <c r="E49" s="8" t="s">
        <v>520</v>
      </c>
      <c r="F49" s="8" t="s">
        <v>502</v>
      </c>
      <c r="G49" s="8" t="s">
        <v>499</v>
      </c>
      <c r="H49" s="8" t="s">
        <v>339</v>
      </c>
      <c r="I49" s="8"/>
      <c r="J49" s="8"/>
      <c r="K49" s="8"/>
      <c r="L49" s="6" t="s">
        <v>521</v>
      </c>
    </row>
    <row r="50" customFormat="false" ht="23.85" hidden="false" customHeight="false" outlineLevel="0" collapsed="false">
      <c r="A50" s="8" t="s">
        <v>255</v>
      </c>
      <c r="B50" s="8" t="n">
        <v>5</v>
      </c>
      <c r="C50" s="8" t="s">
        <v>506</v>
      </c>
      <c r="D50" s="8" t="s">
        <v>499</v>
      </c>
      <c r="E50" s="8" t="s">
        <v>520</v>
      </c>
      <c r="F50" s="8" t="s">
        <v>502</v>
      </c>
      <c r="G50" s="8" t="s">
        <v>499</v>
      </c>
      <c r="H50" s="8" t="s">
        <v>339</v>
      </c>
      <c r="I50" s="8"/>
      <c r="J50" s="8"/>
      <c r="K50" s="8"/>
      <c r="L50" s="6" t="s">
        <v>521</v>
      </c>
    </row>
    <row r="51" customFormat="false" ht="23.85" hidden="false" customHeight="false" outlineLevel="0" collapsed="false">
      <c r="A51" s="8" t="s">
        <v>255</v>
      </c>
      <c r="B51" s="8" t="n">
        <v>6</v>
      </c>
      <c r="C51" s="8" t="s">
        <v>507</v>
      </c>
      <c r="D51" s="8" t="s">
        <v>499</v>
      </c>
      <c r="E51" s="8" t="s">
        <v>501</v>
      </c>
      <c r="F51" s="8" t="s">
        <v>502</v>
      </c>
      <c r="G51" s="8" t="s">
        <v>499</v>
      </c>
      <c r="H51" s="8" t="s">
        <v>339</v>
      </c>
      <c r="I51" s="8"/>
      <c r="J51" s="8"/>
      <c r="K51" s="8"/>
      <c r="L51" s="6" t="s">
        <v>521</v>
      </c>
    </row>
    <row r="52" customFormat="false" ht="23.85" hidden="false" customHeight="false" outlineLevel="0" collapsed="false">
      <c r="A52" s="8" t="s">
        <v>255</v>
      </c>
      <c r="B52" s="8" t="n">
        <v>7</v>
      </c>
      <c r="C52" s="8" t="s">
        <v>509</v>
      </c>
      <c r="D52" s="8" t="s">
        <v>499</v>
      </c>
      <c r="E52" s="8" t="s">
        <v>501</v>
      </c>
      <c r="F52" s="8" t="s">
        <v>502</v>
      </c>
      <c r="G52" s="8" t="s">
        <v>499</v>
      </c>
      <c r="H52" s="8" t="s">
        <v>339</v>
      </c>
      <c r="I52" s="8"/>
      <c r="J52" s="8"/>
      <c r="K52" s="8"/>
      <c r="L52" s="6" t="s">
        <v>521</v>
      </c>
    </row>
    <row r="53" customFormat="false" ht="23.85" hidden="false" customHeight="false" outlineLevel="0" collapsed="false">
      <c r="A53" s="8" t="s">
        <v>255</v>
      </c>
      <c r="B53" s="8" t="n">
        <v>5</v>
      </c>
      <c r="C53" s="8" t="s">
        <v>506</v>
      </c>
      <c r="D53" s="8" t="s">
        <v>499</v>
      </c>
      <c r="E53" s="8" t="s">
        <v>502</v>
      </c>
      <c r="F53" s="8" t="s">
        <v>522</v>
      </c>
      <c r="G53" s="19" t="s">
        <v>498</v>
      </c>
      <c r="H53" s="8" t="s">
        <v>301</v>
      </c>
      <c r="I53" s="8"/>
      <c r="J53" s="8"/>
      <c r="K53" s="8"/>
      <c r="L53" s="6" t="s">
        <v>523</v>
      </c>
    </row>
    <row r="54" customFormat="false" ht="15" hidden="false" customHeight="false" outlineLevel="0" collapsed="false">
      <c r="A54" s="8" t="s">
        <v>255</v>
      </c>
      <c r="B54" s="8" t="n">
        <v>6</v>
      </c>
      <c r="C54" s="8" t="s">
        <v>507</v>
      </c>
      <c r="D54" s="8" t="s">
        <v>499</v>
      </c>
      <c r="E54" s="8" t="s">
        <v>502</v>
      </c>
      <c r="F54" s="8" t="s">
        <v>522</v>
      </c>
      <c r="G54" s="19" t="s">
        <v>498</v>
      </c>
      <c r="H54" s="8" t="s">
        <v>301</v>
      </c>
      <c r="I54" s="8"/>
      <c r="J54" s="8"/>
      <c r="K54" s="8"/>
      <c r="L54" s="6" t="s">
        <v>524</v>
      </c>
    </row>
    <row r="55" customFormat="false" ht="15" hidden="false" customHeight="false" outlineLevel="0" collapsed="false">
      <c r="A55" s="8" t="s">
        <v>255</v>
      </c>
      <c r="B55" s="8" t="n">
        <v>7</v>
      </c>
      <c r="C55" s="8" t="s">
        <v>509</v>
      </c>
      <c r="D55" s="8" t="s">
        <v>499</v>
      </c>
      <c r="E55" s="8" t="s">
        <v>502</v>
      </c>
      <c r="F55" s="8" t="s">
        <v>522</v>
      </c>
      <c r="G55" s="19" t="s">
        <v>498</v>
      </c>
      <c r="H55" s="8" t="s">
        <v>301</v>
      </c>
      <c r="I55" s="8"/>
      <c r="J55" s="8"/>
      <c r="K55" s="8"/>
      <c r="L55" s="6" t="s">
        <v>524</v>
      </c>
    </row>
    <row r="56" customFormat="false" ht="15" hidden="false" customHeight="false" outlineLevel="0" collapsed="false">
      <c r="A56" s="8" t="s">
        <v>105</v>
      </c>
      <c r="B56" s="8" t="n">
        <v>1</v>
      </c>
      <c r="C56" s="8" t="s">
        <v>497</v>
      </c>
      <c r="D56" s="11" t="s">
        <v>498</v>
      </c>
      <c r="E56" s="8"/>
      <c r="F56" s="8"/>
      <c r="G56" s="8" t="s">
        <v>499</v>
      </c>
      <c r="H56" s="8" t="s">
        <v>339</v>
      </c>
      <c r="I56" s="8"/>
      <c r="J56" s="8"/>
      <c r="K56" s="8"/>
      <c r="L56" s="6"/>
    </row>
    <row r="57" customFormat="false" ht="15" hidden="false" customHeight="false" outlineLevel="0" collapsed="false">
      <c r="A57" s="8" t="s">
        <v>105</v>
      </c>
      <c r="B57" s="8" t="n">
        <v>2</v>
      </c>
      <c r="C57" s="8" t="s">
        <v>500</v>
      </c>
      <c r="D57" s="8" t="s">
        <v>499</v>
      </c>
      <c r="E57" s="8" t="s">
        <v>501</v>
      </c>
      <c r="F57" s="8" t="s">
        <v>502</v>
      </c>
      <c r="G57" s="8" t="s">
        <v>499</v>
      </c>
      <c r="H57" s="8" t="s">
        <v>339</v>
      </c>
      <c r="I57" s="8" t="n">
        <v>10</v>
      </c>
      <c r="J57" s="8"/>
      <c r="K57" s="8"/>
      <c r="L57" s="6" t="s">
        <v>525</v>
      </c>
    </row>
    <row r="58" customFormat="false" ht="15" hidden="false" customHeight="false" outlineLevel="0" collapsed="false">
      <c r="A58" s="8" t="s">
        <v>105</v>
      </c>
      <c r="B58" s="8" t="n">
        <v>3</v>
      </c>
      <c r="C58" s="8" t="s">
        <v>504</v>
      </c>
      <c r="D58" s="8" t="s">
        <v>499</v>
      </c>
      <c r="E58" s="8" t="s">
        <v>501</v>
      </c>
      <c r="F58" s="8" t="s">
        <v>502</v>
      </c>
      <c r="G58" s="8" t="s">
        <v>499</v>
      </c>
      <c r="H58" s="8" t="s">
        <v>339</v>
      </c>
      <c r="I58" s="8" t="n">
        <v>10</v>
      </c>
      <c r="J58" s="8"/>
      <c r="K58" s="8"/>
      <c r="L58" s="6" t="s">
        <v>525</v>
      </c>
    </row>
    <row r="59" customFormat="false" ht="15" hidden="false" customHeight="false" outlineLevel="0" collapsed="false">
      <c r="A59" s="8" t="s">
        <v>105</v>
      </c>
      <c r="B59" s="8" t="n">
        <v>4</v>
      </c>
      <c r="C59" s="8" t="s">
        <v>505</v>
      </c>
      <c r="D59" s="8" t="s">
        <v>499</v>
      </c>
      <c r="E59" s="8" t="s">
        <v>501</v>
      </c>
      <c r="F59" s="8" t="s">
        <v>502</v>
      </c>
      <c r="G59" s="8" t="s">
        <v>499</v>
      </c>
      <c r="H59" s="8" t="s">
        <v>339</v>
      </c>
      <c r="I59" s="8" t="n">
        <v>10</v>
      </c>
      <c r="J59" s="8"/>
      <c r="K59" s="8"/>
      <c r="L59" s="6" t="s">
        <v>525</v>
      </c>
    </row>
    <row r="60" customFormat="false" ht="15" hidden="false" customHeight="false" outlineLevel="0" collapsed="false">
      <c r="A60" s="8" t="s">
        <v>105</v>
      </c>
      <c r="B60" s="8" t="n">
        <v>5</v>
      </c>
      <c r="C60" s="8" t="s">
        <v>506</v>
      </c>
      <c r="D60" s="8" t="s">
        <v>499</v>
      </c>
      <c r="E60" s="8" t="s">
        <v>501</v>
      </c>
      <c r="F60" s="8" t="s">
        <v>502</v>
      </c>
      <c r="G60" s="8" t="s">
        <v>499</v>
      </c>
      <c r="H60" s="8" t="s">
        <v>339</v>
      </c>
      <c r="I60" s="8" t="n">
        <v>10</v>
      </c>
      <c r="J60" s="8"/>
      <c r="K60" s="8"/>
      <c r="L60" s="6" t="s">
        <v>525</v>
      </c>
    </row>
    <row r="61" customFormat="false" ht="15" hidden="false" customHeight="false" outlineLevel="0" collapsed="false">
      <c r="A61" s="8" t="s">
        <v>105</v>
      </c>
      <c r="B61" s="8" t="n">
        <v>6</v>
      </c>
      <c r="C61" s="8" t="s">
        <v>507</v>
      </c>
      <c r="D61" s="8" t="s">
        <v>499</v>
      </c>
      <c r="E61" s="8" t="s">
        <v>501</v>
      </c>
      <c r="F61" s="8" t="s">
        <v>502</v>
      </c>
      <c r="G61" s="8" t="s">
        <v>499</v>
      </c>
      <c r="H61" s="8" t="s">
        <v>339</v>
      </c>
      <c r="I61" s="8" t="n">
        <v>10</v>
      </c>
      <c r="J61" s="8"/>
      <c r="K61" s="8"/>
      <c r="L61" s="6" t="s">
        <v>525</v>
      </c>
    </row>
    <row r="62" customFormat="false" ht="15" hidden="false" customHeight="false" outlineLevel="0" collapsed="false">
      <c r="A62" s="8" t="s">
        <v>105</v>
      </c>
      <c r="B62" s="8" t="n">
        <v>7</v>
      </c>
      <c r="C62" s="8" t="s">
        <v>509</v>
      </c>
      <c r="D62" s="8" t="s">
        <v>499</v>
      </c>
      <c r="E62" s="8" t="s">
        <v>501</v>
      </c>
      <c r="F62" s="8" t="s">
        <v>502</v>
      </c>
      <c r="G62" s="8" t="s">
        <v>499</v>
      </c>
      <c r="H62" s="8" t="s">
        <v>339</v>
      </c>
      <c r="I62" s="8" t="n">
        <v>10</v>
      </c>
      <c r="J62" s="8"/>
      <c r="K62" s="8"/>
      <c r="L62" s="6" t="s">
        <v>525</v>
      </c>
    </row>
    <row r="64" customFormat="false" ht="15" hidden="false" customHeight="false" outlineLevel="0" collapsed="false">
      <c r="A64" s="3" t="s">
        <v>526</v>
      </c>
    </row>
    <row r="65" customFormat="false" ht="15" hidden="false" customHeight="false" outlineLevel="0" collapsed="false">
      <c r="A65" s="2" t="s">
        <v>527</v>
      </c>
    </row>
    <row r="66" customFormat="false" ht="15" hidden="false" customHeight="false" outlineLevel="0" collapsed="false">
      <c r="A66" s="2" t="s">
        <v>528</v>
      </c>
    </row>
  </sheetData>
  <autoFilter ref="A1:L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20" t="s">
        <v>290</v>
      </c>
      <c r="B1" s="20" t="s">
        <v>529</v>
      </c>
      <c r="C1" s="20" t="s">
        <v>530</v>
      </c>
      <c r="D1" s="20" t="s">
        <v>531</v>
      </c>
      <c r="E1" s="20" t="s">
        <v>496</v>
      </c>
    </row>
    <row r="2" customFormat="false" ht="15" hidden="false" customHeight="false" outlineLevel="0" collapsed="false">
      <c r="A2" s="8" t="s">
        <v>212</v>
      </c>
      <c r="B2" s="8" t="s">
        <v>532</v>
      </c>
      <c r="C2" s="8" t="s">
        <v>533</v>
      </c>
      <c r="D2" s="8" t="s">
        <v>498</v>
      </c>
      <c r="E2" s="6"/>
    </row>
    <row r="3" customFormat="false" ht="15" hidden="false" customHeight="false" outlineLevel="0" collapsed="false">
      <c r="A3" s="8" t="s">
        <v>220</v>
      </c>
      <c r="B3" s="8" t="s">
        <v>534</v>
      </c>
      <c r="C3" s="8" t="s">
        <v>535</v>
      </c>
      <c r="D3" s="8" t="s">
        <v>498</v>
      </c>
      <c r="E3" s="6"/>
    </row>
    <row r="4" customFormat="false" ht="15" hidden="false" customHeight="false" outlineLevel="0" collapsed="false">
      <c r="A4" s="8" t="s">
        <v>220</v>
      </c>
      <c r="B4" s="8" t="s">
        <v>532</v>
      </c>
      <c r="C4" s="8" t="s">
        <v>533</v>
      </c>
      <c r="D4" s="8" t="s">
        <v>498</v>
      </c>
      <c r="E4" s="6"/>
    </row>
    <row r="5" customFormat="false" ht="15" hidden="false" customHeight="false" outlineLevel="0" collapsed="false">
      <c r="A5" s="8" t="s">
        <v>194</v>
      </c>
      <c r="B5" s="8" t="s">
        <v>534</v>
      </c>
      <c r="C5" s="8" t="s">
        <v>535</v>
      </c>
      <c r="D5" s="8" t="s">
        <v>498</v>
      </c>
      <c r="E5" s="6"/>
    </row>
    <row r="6" customFormat="false" ht="15" hidden="false" customHeight="false" outlineLevel="0" collapsed="false">
      <c r="A6" s="8" t="s">
        <v>194</v>
      </c>
      <c r="B6" s="8" t="s">
        <v>532</v>
      </c>
      <c r="C6" s="8" t="s">
        <v>533</v>
      </c>
      <c r="D6" s="8" t="s">
        <v>498</v>
      </c>
      <c r="E6" s="6"/>
    </row>
    <row r="7" customFormat="false" ht="15" hidden="false" customHeight="false" outlineLevel="0" collapsed="false">
      <c r="A7" s="8" t="s">
        <v>194</v>
      </c>
      <c r="B7" s="8" t="s">
        <v>536</v>
      </c>
      <c r="C7" s="8" t="s">
        <v>537</v>
      </c>
      <c r="D7" s="8" t="s">
        <v>498</v>
      </c>
      <c r="E7" s="6"/>
    </row>
    <row r="8" customFormat="false" ht="15" hidden="false" customHeight="false" outlineLevel="0" collapsed="false">
      <c r="A8" s="8" t="s">
        <v>229</v>
      </c>
      <c r="B8" s="8" t="s">
        <v>534</v>
      </c>
      <c r="C8" s="8" t="s">
        <v>535</v>
      </c>
      <c r="D8" s="8" t="s">
        <v>498</v>
      </c>
      <c r="E8" s="6"/>
    </row>
    <row r="9" customFormat="false" ht="15" hidden="false" customHeight="false" outlineLevel="0" collapsed="false">
      <c r="A9" s="8" t="s">
        <v>229</v>
      </c>
      <c r="B9" s="8" t="s">
        <v>532</v>
      </c>
      <c r="C9" s="8" t="s">
        <v>533</v>
      </c>
      <c r="D9" s="8" t="s">
        <v>498</v>
      </c>
      <c r="E9" s="6"/>
    </row>
    <row r="10" customFormat="false" ht="15" hidden="false" customHeight="false" outlineLevel="0" collapsed="false">
      <c r="A10" s="8" t="s">
        <v>229</v>
      </c>
      <c r="B10" s="8" t="s">
        <v>536</v>
      </c>
      <c r="C10" s="8" t="s">
        <v>537</v>
      </c>
      <c r="D10" s="8" t="s">
        <v>498</v>
      </c>
      <c r="E10" s="6"/>
    </row>
    <row r="11" customFormat="false" ht="15" hidden="false" customHeight="false" outlineLevel="0" collapsed="false">
      <c r="A11" s="8" t="s">
        <v>229</v>
      </c>
      <c r="B11" s="8" t="s">
        <v>538</v>
      </c>
      <c r="C11" s="8" t="s">
        <v>539</v>
      </c>
      <c r="D11" s="8" t="s">
        <v>498</v>
      </c>
      <c r="E11" s="6" t="s">
        <v>540</v>
      </c>
    </row>
    <row r="12" customFormat="false" ht="15" hidden="false" customHeight="false" outlineLevel="0" collapsed="false">
      <c r="A12" s="8" t="s">
        <v>229</v>
      </c>
      <c r="B12" s="8" t="s">
        <v>541</v>
      </c>
      <c r="C12" s="8" t="s">
        <v>542</v>
      </c>
      <c r="D12" s="8" t="s">
        <v>498</v>
      </c>
      <c r="E12" s="6" t="s">
        <v>540</v>
      </c>
    </row>
    <row r="13" customFormat="false" ht="15" hidden="false" customHeight="false" outlineLevel="0" collapsed="false">
      <c r="A13" s="8" t="s">
        <v>237</v>
      </c>
      <c r="B13" s="8" t="s">
        <v>532</v>
      </c>
      <c r="C13" s="8" t="s">
        <v>533</v>
      </c>
      <c r="D13" s="8" t="s">
        <v>498</v>
      </c>
      <c r="E13" s="6"/>
    </row>
    <row r="14" customFormat="false" ht="15" hidden="false" customHeight="false" outlineLevel="0" collapsed="false">
      <c r="A14" s="8" t="s">
        <v>237</v>
      </c>
      <c r="B14" s="8" t="s">
        <v>543</v>
      </c>
      <c r="C14" s="8" t="s">
        <v>544</v>
      </c>
      <c r="D14" s="8" t="s">
        <v>499</v>
      </c>
      <c r="E14" s="6" t="s">
        <v>545</v>
      </c>
    </row>
    <row r="15" customFormat="false" ht="15" hidden="false" customHeight="false" outlineLevel="0" collapsed="false">
      <c r="A15" s="8" t="s">
        <v>255</v>
      </c>
      <c r="B15" s="8" t="s">
        <v>534</v>
      </c>
      <c r="C15" s="8" t="s">
        <v>535</v>
      </c>
      <c r="D15" s="8" t="s">
        <v>498</v>
      </c>
      <c r="E15" s="6"/>
    </row>
    <row r="16" customFormat="false" ht="15" hidden="false" customHeight="false" outlineLevel="0" collapsed="false">
      <c r="A16" s="8" t="s">
        <v>255</v>
      </c>
      <c r="B16" s="8" t="s">
        <v>532</v>
      </c>
      <c r="C16" s="8" t="s">
        <v>533</v>
      </c>
      <c r="D16" s="8" t="s">
        <v>498</v>
      </c>
      <c r="E16" s="6"/>
    </row>
    <row r="17" customFormat="false" ht="15" hidden="false" customHeight="false" outlineLevel="0" collapsed="false">
      <c r="A17" s="8" t="s">
        <v>255</v>
      </c>
      <c r="B17" s="8" t="s">
        <v>536</v>
      </c>
      <c r="C17" s="8" t="s">
        <v>537</v>
      </c>
      <c r="D17" s="8" t="s">
        <v>498</v>
      </c>
      <c r="E17" s="6"/>
    </row>
    <row r="18" customFormat="false" ht="15" hidden="false" customHeight="false" outlineLevel="0" collapsed="false">
      <c r="A18" s="8" t="s">
        <v>105</v>
      </c>
      <c r="B18" s="8" t="s">
        <v>534</v>
      </c>
      <c r="C18" s="8" t="s">
        <v>535</v>
      </c>
      <c r="D18" s="8" t="s">
        <v>498</v>
      </c>
      <c r="E18" s="6"/>
    </row>
    <row r="19" customFormat="false" ht="15" hidden="false" customHeight="false" outlineLevel="0" collapsed="false">
      <c r="A19" s="8" t="s">
        <v>105</v>
      </c>
      <c r="B19" s="8" t="s">
        <v>532</v>
      </c>
      <c r="C19" s="8" t="s">
        <v>533</v>
      </c>
      <c r="D19" s="8" t="s">
        <v>498</v>
      </c>
      <c r="E19" s="6"/>
    </row>
    <row r="20" customFormat="false" ht="15" hidden="false" customHeight="false" outlineLevel="0" collapsed="false">
      <c r="A20" s="8" t="s">
        <v>105</v>
      </c>
      <c r="B20" s="8" t="s">
        <v>536</v>
      </c>
      <c r="C20" s="8" t="s">
        <v>537</v>
      </c>
      <c r="D20" s="8" t="s">
        <v>498</v>
      </c>
      <c r="E20" s="6"/>
    </row>
    <row r="22" customFormat="false" ht="15" hidden="false" customHeight="false" outlineLevel="0" collapsed="false">
      <c r="A22" s="3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547</v>
      </c>
    </row>
    <row r="3" customFormat="false" ht="15" hidden="false" customHeight="false" outlineLevel="0" collapsed="false">
      <c r="A3" s="3" t="s">
        <v>548</v>
      </c>
      <c r="B3" s="2" t="n">
        <f aca="false">COUNTA(Lieux!$B$2:$B$58)</f>
        <v>57</v>
      </c>
    </row>
    <row r="4" customFormat="false" ht="15" hidden="false" customHeight="false" outlineLevel="0" collapsed="false">
      <c r="A4" s="3" t="s">
        <v>549</v>
      </c>
      <c r="B4" s="2" t="n">
        <f aca="false">COUNTIF(Lieux!$K$2:$K$58,"vérifié")</f>
        <v>9</v>
      </c>
    </row>
    <row r="5" customFormat="false" ht="15" hidden="false" customHeight="false" outlineLevel="0" collapsed="false">
      <c r="A5" s="3" t="s">
        <v>550</v>
      </c>
      <c r="B5" s="2" t="n">
        <f aca="false">COUNTIF(Lieux!$K$2:$K$58,"à vérifier")</f>
        <v>48</v>
      </c>
    </row>
    <row r="6" customFormat="false" ht="15" hidden="false" customHeight="false" outlineLevel="0" collapsed="false">
      <c r="A6" s="3" t="s">
        <v>551</v>
      </c>
      <c r="B6" s="2" t="n">
        <f aca="false">COUNTA(Lieux!$H$2:$H$58)</f>
        <v>17</v>
      </c>
    </row>
    <row r="7" customFormat="false" ht="15" hidden="false" customHeight="false" outlineLevel="0" collapsed="false">
      <c r="A7" s="3" t="s">
        <v>552</v>
      </c>
      <c r="B7" s="21" t="n">
        <f aca="false">IFERROR(COUNTIF(Lieux!$K$2:$K$58,"vérifié")/COUNTA(Lieux!$B$2:$B$58),0)</f>
        <v>0.157894736842105</v>
      </c>
    </row>
    <row r="10" customFormat="false" ht="15" hidden="false" customHeight="false" outlineLevel="0" collapsed="false">
      <c r="A10" s="3" t="s">
        <v>553</v>
      </c>
    </row>
    <row r="11" customFormat="false" ht="15" hidden="false" customHeight="false" outlineLevel="0" collapsed="false">
      <c r="A11" s="22" t="s">
        <v>65</v>
      </c>
      <c r="B11" s="22" t="s">
        <v>554</v>
      </c>
      <c r="C11" s="22" t="s">
        <v>555</v>
      </c>
    </row>
    <row r="12" customFormat="false" ht="15" hidden="false" customHeight="false" outlineLevel="0" collapsed="false">
      <c r="A12" s="2" t="s">
        <v>33</v>
      </c>
      <c r="B12" s="2" t="n">
        <f aca="false">COUNTIF(Lieux!$C$2:$C$58,$A12)</f>
        <v>12</v>
      </c>
      <c r="C12" s="2" t="n">
        <f aca="false">COUNTIFS(Lieux!$C$2:$C$58,$A12,Lieux!$K$2:$K$58,"vérifié")</f>
        <v>1</v>
      </c>
    </row>
    <row r="13" customFormat="false" ht="15" hidden="false" customHeight="false" outlineLevel="0" collapsed="false">
      <c r="A13" s="2" t="s">
        <v>39</v>
      </c>
      <c r="B13" s="2" t="n">
        <f aca="false">COUNTIF(Lieux!$C$2:$C$58,$A13)</f>
        <v>19</v>
      </c>
      <c r="C13" s="2" t="n">
        <f aca="false">COUNTIFS(Lieux!$C$2:$C$58,$A13,Lieux!$K$2:$K$58,"vérifié")</f>
        <v>0</v>
      </c>
    </row>
    <row r="14" customFormat="false" ht="15" hidden="false" customHeight="false" outlineLevel="0" collapsed="false">
      <c r="A14" s="2" t="s">
        <v>45</v>
      </c>
      <c r="B14" s="2" t="n">
        <f aca="false">COUNTIF(Lieux!$C$2:$C$58,$A14)</f>
        <v>4</v>
      </c>
      <c r="C14" s="2" t="n">
        <f aca="false">COUNTIFS(Lieux!$C$2:$C$58,$A14,Lieux!$K$2:$K$58,"vérifié")</f>
        <v>0</v>
      </c>
    </row>
    <row r="15" customFormat="false" ht="15" hidden="false" customHeight="false" outlineLevel="0" collapsed="false">
      <c r="A15" s="2" t="s">
        <v>50</v>
      </c>
      <c r="B15" s="2" t="n">
        <f aca="false">COUNTIF(Lieux!$C$2:$C$58,$A15)</f>
        <v>2</v>
      </c>
      <c r="C15" s="2" t="n">
        <f aca="false">COUNTIFS(Lieux!$C$2:$C$58,$A15,Lieux!$K$2:$K$58,"vérifié")</f>
        <v>0</v>
      </c>
    </row>
    <row r="16" customFormat="false" ht="15" hidden="false" customHeight="false" outlineLevel="0" collapsed="false">
      <c r="A16" s="2" t="s">
        <v>55</v>
      </c>
      <c r="B16" s="2" t="n">
        <f aca="false">COUNTIF(Lieux!$C$2:$C$58,$A16)</f>
        <v>13</v>
      </c>
      <c r="C16" s="2" t="n">
        <f aca="false">COUNTIFS(Lieux!$C$2:$C$58,$A16,Lieux!$K$2:$K$58,"vérifié")</f>
        <v>8</v>
      </c>
    </row>
    <row r="17" customFormat="false" ht="15" hidden="false" customHeight="false" outlineLevel="0" collapsed="false">
      <c r="A17" s="2" t="s">
        <v>58</v>
      </c>
      <c r="B17" s="2" t="n">
        <f aca="false">COUNTIF(Lieux!$C$2:$C$58,$A17)</f>
        <v>7</v>
      </c>
      <c r="C17" s="2" t="n">
        <f aca="false">COUNTIFS(Lieux!$C$2:$C$58,$A17,Lieux!$K$2:$K$58,"vérifié")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2026-09-19T14:10:27Z</dcterms:created>
  <dc:creator>openpyxl</dc:creator>
  <dc:description/>
  <dc:language>en-US</dc:language>
  <cp:lastModifiedBy/>
  <dcterms:modified xsi:type="dcterms:W3CDTF">2026-09-19T14:10:27Z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